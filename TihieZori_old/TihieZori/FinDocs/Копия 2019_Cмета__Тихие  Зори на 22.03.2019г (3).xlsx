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стя\Downloads\"/>
    </mc:Choice>
  </mc:AlternateContent>
  <xr:revisionPtr revIDLastSave="0" documentId="13_ncr:1_{0207DE7C-A97A-4650-8C46-839B151329B5}" xr6:coauthVersionLast="43" xr6:coauthVersionMax="43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2019 расчет взн " sheetId="1" r:id="rId1"/>
    <sheet name="2019 расчет взн 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5" i="2" l="1"/>
  <c r="D55" i="2"/>
  <c r="D50" i="2"/>
  <c r="C8" i="2"/>
  <c r="C13" i="2"/>
  <c r="C14" i="2"/>
  <c r="C15" i="2"/>
  <c r="C16" i="2"/>
  <c r="C11" i="2"/>
  <c r="C7" i="2"/>
  <c r="C17" i="2"/>
  <c r="C21" i="2"/>
  <c r="C29" i="2"/>
  <c r="C30" i="2"/>
  <c r="C20" i="2"/>
  <c r="C39" i="2"/>
  <c r="C43" i="2"/>
  <c r="C34" i="2"/>
  <c r="C4" i="2"/>
  <c r="C47" i="2"/>
  <c r="C49" i="1"/>
  <c r="C13" i="1"/>
  <c r="C23" i="1"/>
  <c r="C31" i="1"/>
  <c r="C32" i="1"/>
  <c r="C40" i="1"/>
  <c r="C41" i="1"/>
  <c r="C4" i="1"/>
  <c r="C46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<sst xmlns="http://schemas.openxmlformats.org/spreadsheetml/2006/main" count="88" uniqueCount="67">
  <si>
    <t>Порядок формирования направлений денежных средств на текущие расходы по уставной деятельности ДНТ "Тихие зори"  и структуры взносов членов, участников ДНТ  с  01.01.2019г.</t>
  </si>
  <si>
    <t>1.</t>
  </si>
  <si>
    <t>РАСХОД    денежных средств на текущие расходы по уставной  деятельности  (Руб./год)</t>
  </si>
  <si>
    <t>в том числе:</t>
  </si>
  <si>
    <t>Расходы на оплату труда  основного , замещающего  персонала  и вознаграждение правления</t>
  </si>
  <si>
    <t>Расходы на уборку помещения</t>
  </si>
  <si>
    <t xml:space="preserve">Начисления на оплату труда в ПФР, в т.ч.:  </t>
  </si>
  <si>
    <t xml:space="preserve"> ПФР 22%</t>
  </si>
  <si>
    <t xml:space="preserve">Начисления на оплату труда в ФСС, в т.ч.:  </t>
  </si>
  <si>
    <t xml:space="preserve">     Страховка по травматизму (0,2%)</t>
  </si>
  <si>
    <t xml:space="preserve">     ФСС (2,9%)</t>
  </si>
  <si>
    <t xml:space="preserve">     ФОМС(5,1%)</t>
  </si>
  <si>
    <r>
      <rPr>
        <sz val="10"/>
        <rFont val="Arial Cyr"/>
        <charset val="204"/>
      </rPr>
      <t xml:space="preserve">   - земельный налог за 2018г. </t>
    </r>
    <r>
      <rPr>
        <sz val="8"/>
        <rFont val="Arial Cyr"/>
        <charset val="204"/>
      </rPr>
      <t>(0,3% и 1,5% от кадастровой статьи зем. уч-ка)</t>
    </r>
  </si>
  <si>
    <t xml:space="preserve">   - прочие( УСН)</t>
  </si>
  <si>
    <t>Расходы по оплате услуг банка (РКО)</t>
  </si>
  <si>
    <t>Электронная отчетность</t>
  </si>
  <si>
    <t>Услуги юриста</t>
  </si>
  <si>
    <r>
      <rPr>
        <b/>
        <i/>
        <sz val="10"/>
        <rFont val="Arial Cyr"/>
        <charset val="204"/>
      </rPr>
      <t>Расходы по оплате коммун услуг помещения ДНТ</t>
    </r>
    <r>
      <rPr>
        <i/>
        <sz val="8"/>
        <rFont val="Arial Cyr"/>
        <charset val="204"/>
      </rPr>
      <t xml:space="preserve"> (тепло, ээн..)</t>
    </r>
  </si>
  <si>
    <r>
      <rPr>
        <b/>
        <sz val="10"/>
        <rFont val="Arial Cyr"/>
        <charset val="204"/>
      </rPr>
      <t>Хоз. Расходы</t>
    </r>
    <r>
      <rPr>
        <b/>
        <i/>
        <sz val="10"/>
        <rFont val="Arial Cyr"/>
        <charset val="204"/>
      </rPr>
      <t xml:space="preserve"> </t>
    </r>
    <r>
      <rPr>
        <i/>
        <sz val="10"/>
        <rFont val="Arial Cyr"/>
        <charset val="204"/>
      </rPr>
      <t>( канцелярия, содержание техники</t>
    </r>
    <r>
      <rPr>
        <b/>
        <i/>
        <sz val="10"/>
        <rFont val="Arial Cyr"/>
        <charset val="204"/>
      </rPr>
      <t>)</t>
    </r>
  </si>
  <si>
    <t>Расходы по уборке снега в зимний период - двухсторонний прогон</t>
  </si>
  <si>
    <r>
      <rPr>
        <b/>
        <i/>
        <sz val="10"/>
        <rFont val="Arial Cyr"/>
        <charset val="204"/>
      </rPr>
      <t xml:space="preserve">Расходы за услуги по проф. обработке от клещей </t>
    </r>
    <r>
      <rPr>
        <sz val="8"/>
        <rFont val="Arial Cyr"/>
        <charset val="204"/>
      </rPr>
      <t>2раза/сезон</t>
    </r>
  </si>
  <si>
    <r>
      <rPr>
        <b/>
        <i/>
        <sz val="10"/>
        <rFont val="Arial Cyr"/>
        <charset val="204"/>
      </rPr>
      <t xml:space="preserve">Расходы на вывоз ТБО </t>
    </r>
    <r>
      <rPr>
        <i/>
        <sz val="10"/>
        <rFont val="Arial Cyr"/>
        <charset val="204"/>
      </rPr>
      <t xml:space="preserve">(по договору 3700,0руб/1бункер(32 бункера наши) </t>
    </r>
  </si>
  <si>
    <r>
      <rPr>
        <b/>
        <i/>
        <sz val="10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i/>
        <sz val="10"/>
        <color rgb="FFFF0000"/>
        <rFont val="Arial Cyr"/>
        <charset val="204"/>
      </rPr>
      <t>контролирующих органов</t>
    </r>
  </si>
  <si>
    <t>Охрана</t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</si>
  <si>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</t>
    </r>
  </si>
  <si>
    <t>обслуживание газопровода</t>
  </si>
  <si>
    <t>возмещение  расходов по страхованию объектов повышенной опасности</t>
  </si>
  <si>
    <t>планово-предупредительные работы по газовому хозяйству</t>
  </si>
  <si>
    <t xml:space="preserve">Расходы по содержанию проезжей части в весенне-летний период             </t>
  </si>
  <si>
    <t>Потери по электроэнергии(4674*12*2)</t>
  </si>
  <si>
    <t>Оплата электроэнергии за освещение территории ДНТ ( 570 кВт* 12мес*2)</t>
  </si>
  <si>
    <t>Целевой на дорогу за овражные участки</t>
  </si>
  <si>
    <t>Аренда овражных участков из расчета 13уч * 14867</t>
  </si>
  <si>
    <t>Видеонаблюдение + интернет</t>
  </si>
  <si>
    <t xml:space="preserve">Шлагбаум под ключ </t>
  </si>
  <si>
    <t>Ремонт вагончика</t>
  </si>
  <si>
    <t>Количество соток на 193 уч в ДНТ "Тихие Зори"  (ед.)</t>
  </si>
  <si>
    <t xml:space="preserve">2. </t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</si>
  <si>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ДНТ по   плану межевания </t>
    </r>
  </si>
  <si>
    <t>на участок</t>
  </si>
  <si>
    <t>Целевой на забор</t>
  </si>
  <si>
    <t xml:space="preserve">Расходы на оплату труда  </t>
  </si>
  <si>
    <t xml:space="preserve">Начисления на оплату труда, в т.ч.:  </t>
  </si>
  <si>
    <t xml:space="preserve">    Страховые взносы на СЧ  22%</t>
  </si>
  <si>
    <t xml:space="preserve">        Страховые взносы по травматизму (0,2%)</t>
  </si>
  <si>
    <t xml:space="preserve">        Страховые взносыФСС (2,9%)</t>
  </si>
  <si>
    <t xml:space="preserve">        Страховые взносыФОМС(5,1%)</t>
  </si>
  <si>
    <t>Прочие налоговые отчисления</t>
  </si>
  <si>
    <t xml:space="preserve">Общехозяйственные расходы </t>
  </si>
  <si>
    <r>
      <rPr>
        <b/>
        <i/>
        <sz val="10"/>
        <rFont val="Arial Cyr"/>
        <charset val="204"/>
      </rPr>
      <t>Расходы по оплате коммун услуг помещения товарищества</t>
    </r>
    <r>
      <rPr>
        <i/>
        <sz val="8"/>
        <rFont val="Arial Cyr"/>
        <charset val="204"/>
      </rPr>
      <t xml:space="preserve"> (тепло, ээн..)</t>
    </r>
  </si>
  <si>
    <r>
      <rPr>
        <b/>
        <i/>
        <sz val="10"/>
        <rFont val="Arial Cyr"/>
        <charset val="204"/>
      </rPr>
      <t xml:space="preserve">Расходы на техническое сопровождение </t>
    </r>
    <r>
      <rPr>
        <b/>
        <i/>
        <sz val="8"/>
        <rFont val="Arial Cyr"/>
        <charset val="204"/>
      </rPr>
      <t xml:space="preserve">/обслуживание газопровода, возмещение затрат по страхованию объекта организацией эксплуатирующей опасные </t>
    </r>
    <r>
      <rPr>
        <b/>
        <i/>
        <sz val="9"/>
        <rFont val="Arial Cyr"/>
        <charset val="204"/>
      </rPr>
      <t>производст.объекты/ планово-предупредительные работы по газовому  хозяйству, в том числе:</t>
    </r>
  </si>
  <si>
    <t>Прочие расходы</t>
  </si>
  <si>
    <r>
      <rPr>
        <b/>
        <sz val="12"/>
        <rFont val="Arial Cyr"/>
        <charset val="204"/>
      </rPr>
      <t xml:space="preserve">Расходы по содержанию проезжей части  </t>
    </r>
    <r>
      <rPr>
        <b/>
        <sz val="12"/>
        <color rgb="FF000000"/>
        <rFont val="Arial Cyr"/>
        <charset val="204"/>
      </rPr>
      <t xml:space="preserve">дорог общего пользования </t>
    </r>
    <r>
      <rPr>
        <b/>
        <sz val="12"/>
        <rFont val="Arial Cyr"/>
        <charset val="204"/>
      </rPr>
      <t xml:space="preserve">в весенне-летний период             </t>
    </r>
  </si>
  <si>
    <t>Возмещение выпадающих доходов по технологическим потерям по сетям электроснабжения товарищества (4674*12*2)</t>
  </si>
  <si>
    <t>Возмещение выпадающих доходов за аренду овражных участков из расчета 14867 руб./год/3года /по искл. из состава товарищества 13-ти овражным участкам/</t>
  </si>
  <si>
    <t>Расходы на систему видеонаблюдения + интернет</t>
  </si>
  <si>
    <t xml:space="preserve">Расходы на установку шлагбаума (под ключ) </t>
  </si>
  <si>
    <t>Расходы на содержание и текущий ремонт вагончика /бытовки/</t>
  </si>
  <si>
    <t>расходы по злектроэнергии и отопление в зимний период</t>
  </si>
  <si>
    <r>
      <rPr>
        <b/>
        <sz val="11"/>
        <rFont val="Arial Cyr"/>
        <charset val="204"/>
      </rPr>
      <t xml:space="preserve">Строительство площадки под мусорный бак согласно требованиям </t>
    </r>
    <r>
      <rPr>
        <b/>
        <sz val="11"/>
        <color rgb="FF000000"/>
        <rFont val="Arial Cyr"/>
        <charset val="204"/>
      </rPr>
      <t>контролирующих органов</t>
    </r>
  </si>
  <si>
    <r>
      <rPr>
        <b/>
        <sz val="10"/>
        <rFont val="Arial Cyr"/>
        <charset val="204"/>
      </rPr>
      <t xml:space="preserve">Количество соток на </t>
    </r>
    <r>
      <rPr>
        <b/>
        <sz val="10"/>
        <color rgb="FF000000"/>
        <rFont val="Arial Cyr"/>
        <charset val="204"/>
      </rPr>
      <t>193</t>
    </r>
    <r>
      <rPr>
        <b/>
        <sz val="10"/>
        <rFont val="Arial Cyr"/>
        <charset val="204"/>
      </rPr>
      <t xml:space="preserve"> уч в ДНТ "Тихие Зори"  (ед.)</t>
    </r>
  </si>
  <si>
    <r>
      <rPr>
        <b/>
        <sz val="10"/>
        <rFont val="Arial Cyr"/>
        <charset val="204"/>
      </rPr>
      <t xml:space="preserve">Приход = Расходу, т.е.размер членского взноса </t>
    </r>
    <r>
      <rPr>
        <b/>
        <u/>
        <sz val="10"/>
        <rFont val="Arial Cyr"/>
        <charset val="204"/>
      </rPr>
      <t>с 2019г.</t>
    </r>
    <r>
      <rPr>
        <b/>
        <sz val="10"/>
        <rFont val="Arial Cyr"/>
        <charset val="204"/>
      </rPr>
      <t xml:space="preserve">  (Руб./сот./год) = сумма  расхода  делится на кол-во соток  всех участков в </t>
    </r>
    <r>
      <rPr>
        <b/>
        <sz val="10"/>
        <color rgb="FF000000"/>
        <rFont val="Arial Cyr"/>
        <charset val="204"/>
      </rPr>
      <t xml:space="preserve">товариществе </t>
    </r>
    <r>
      <rPr>
        <b/>
        <sz val="10"/>
        <rFont val="Arial Cyr"/>
        <charset val="204"/>
      </rPr>
      <t xml:space="preserve">по   плану межевания </t>
    </r>
  </si>
  <si>
    <t>за сотку</t>
  </si>
  <si>
    <t>Целевой взнос на создание ограждений территории товарищества</t>
  </si>
  <si>
    <t>Возмещение выпадающих доходов по целевым поступлениям на создание дорог/по искл. из состава товарищества овражным участкам/</t>
  </si>
  <si>
    <t>целевые взносы со сроком   уплаты в течение трех лет с момента утверждения общим собранием до 31.03.2022г.</t>
  </si>
  <si>
    <t>Взнос на содержание общего имущества /взнос по оплате потребленного коммунального ресурса-электроэнергии в местах общего пользования территории товарищества ( 570 кВт* 12мес*2) по решению общего собрания добавлено за устройство лампочек на столбы (23500)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</si>
</sst>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\-??_р_._-;_-@_-"/>
    <numFmt numFmtId="165" formatCode="_-* #,##0_р_._-;\-* #,##0_р_._-;_-* \-??_р_._-;_-@_-"/>
    <numFmt numFmtId="166" formatCode="_-* #,##0.00\ _₽_-;\-* #,##0.00\ _₽_-;_-* \-??\ _₽_-;_-@_-"/>
  </numFmts>
  <fonts count="22" x14ac:knownFonts="1">
    <font>
      <sz val="10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i/>
      <sz val="10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b/>
      <i/>
      <sz val="10"/>
      <color rgb="FF000000"/>
      <name val="Arial Cyr"/>
      <charset val="204"/>
    </font>
    <font>
      <b/>
      <i/>
      <sz val="10"/>
      <color rgb="FFFF0000"/>
      <name val="Arial Cyr"/>
      <charset val="204"/>
    </font>
    <font>
      <b/>
      <i/>
      <sz val="8"/>
      <name val="Arial Cyr"/>
      <charset val="204"/>
    </font>
    <font>
      <b/>
      <i/>
      <sz val="9"/>
      <name val="Arial Cyr"/>
      <charset val="204"/>
    </font>
    <font>
      <b/>
      <u/>
      <sz val="10"/>
      <name val="Arial Cyr"/>
      <charset val="204"/>
    </font>
    <font>
      <b/>
      <sz val="16"/>
      <name val="Arial Cyr"/>
      <charset val="204"/>
    </font>
    <font>
      <b/>
      <i/>
      <sz val="11"/>
      <name val="Arial Cyr"/>
      <charset val="204"/>
    </font>
    <font>
      <b/>
      <sz val="12"/>
      <color rgb="FF000000"/>
      <name val="Arial Cyr"/>
      <charset val="204"/>
    </font>
    <font>
      <b/>
      <sz val="11"/>
      <color rgb="FF000000"/>
      <name val="Arial Cyr"/>
      <charset val="204"/>
    </font>
    <font>
      <b/>
      <sz val="10"/>
      <color rgb="FF000000"/>
      <name val="Arial Cyr"/>
      <charset val="204"/>
    </font>
    <font>
      <sz val="10"/>
      <color rgb="FFFF0000"/>
      <name val="Arial Cyr"/>
      <charset val="204"/>
    </font>
    <font>
      <sz val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21" fillId="0" borderId="0" applyBorder="0" applyAlignment="0" applyProtection="0"/>
    <xf numFmtId="0" fontId="21" fillId="0" borderId="0"/>
    <xf numFmtId="164" fontId="21" fillId="0" borderId="0" applyBorder="0" applyAlignment="0" applyProtection="0"/>
  </cellStyleXfs>
  <cellXfs count="93">
    <xf numFmtId="0" fontId="0" fillId="0" borderId="0" xfId="0"/>
    <xf numFmtId="0" fontId="0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166" fontId="0" fillId="0" borderId="0" xfId="0" applyNumberFormat="1"/>
    <xf numFmtId="0" fontId="3" fillId="3" borderId="7" xfId="0" applyFont="1" applyFill="1" applyBorder="1" applyAlignment="1">
      <alignment horizontal="left"/>
    </xf>
    <xf numFmtId="165" fontId="3" fillId="3" borderId="1" xfId="1" applyNumberFormat="1" applyFont="1" applyFill="1" applyBorder="1" applyAlignment="1" applyProtection="1">
      <alignment horizontal="right"/>
    </xf>
    <xf numFmtId="0" fontId="6" fillId="4" borderId="8" xfId="0" applyFont="1" applyFill="1" applyBorder="1" applyAlignment="1"/>
    <xf numFmtId="165" fontId="6" fillId="4" borderId="1" xfId="1" applyNumberFormat="1" applyFont="1" applyFill="1" applyBorder="1" applyAlignment="1" applyProtection="1"/>
    <xf numFmtId="0" fontId="7" fillId="0" borderId="9" xfId="0" applyFont="1" applyBorder="1" applyAlignment="1">
      <alignment wrapText="1"/>
    </xf>
    <xf numFmtId="1" fontId="7" fillId="0" borderId="10" xfId="0" applyNumberFormat="1" applyFont="1" applyBorder="1" applyAlignment="1"/>
    <xf numFmtId="0" fontId="7" fillId="0" borderId="4" xfId="0" applyFont="1" applyBorder="1" applyAlignment="1"/>
    <xf numFmtId="2" fontId="7" fillId="0" borderId="4" xfId="0" applyNumberFormat="1" applyFont="1" applyBorder="1" applyAlignment="1"/>
    <xf numFmtId="0" fontId="6" fillId="4" borderId="11" xfId="0" applyFont="1" applyFill="1" applyBorder="1" applyAlignment="1">
      <alignment wrapText="1"/>
    </xf>
    <xf numFmtId="165" fontId="6" fillId="4" borderId="12" xfId="1" applyNumberFormat="1" applyFont="1" applyFill="1" applyBorder="1" applyAlignment="1" applyProtection="1"/>
    <xf numFmtId="2" fontId="0" fillId="0" borderId="0" xfId="0" applyNumberFormat="1"/>
    <xf numFmtId="0" fontId="7" fillId="0" borderId="13" xfId="0" applyFont="1" applyBorder="1" applyAlignment="1">
      <alignment wrapText="1"/>
    </xf>
    <xf numFmtId="1" fontId="6" fillId="0" borderId="10" xfId="0" applyNumberFormat="1" applyFont="1" applyBorder="1" applyAlignment="1"/>
    <xf numFmtId="0" fontId="0" fillId="0" borderId="9" xfId="0" applyBorder="1" applyAlignment="1"/>
    <xf numFmtId="1" fontId="0" fillId="0" borderId="4" xfId="0" applyNumberFormat="1" applyBorder="1" applyAlignment="1"/>
    <xf numFmtId="1" fontId="6" fillId="0" borderId="4" xfId="0" applyNumberFormat="1" applyFont="1" applyBorder="1" applyAlignment="1"/>
    <xf numFmtId="0" fontId="0" fillId="0" borderId="4" xfId="0" applyFont="1" applyBorder="1" applyAlignment="1"/>
    <xf numFmtId="0" fontId="3" fillId="3" borderId="14" xfId="0" applyFont="1" applyFill="1" applyBorder="1" applyAlignment="1">
      <alignment wrapText="1"/>
    </xf>
    <xf numFmtId="164" fontId="3" fillId="3" borderId="12" xfId="1" applyFont="1" applyFill="1" applyBorder="1" applyAlignment="1" applyProtection="1"/>
    <xf numFmtId="164" fontId="0" fillId="0" borderId="0" xfId="0" applyNumberFormat="1"/>
    <xf numFmtId="0" fontId="0" fillId="0" borderId="15" xfId="0" applyFont="1" applyBorder="1" applyAlignment="1"/>
    <xf numFmtId="2" fontId="0" fillId="0" borderId="16" xfId="0" applyNumberFormat="1" applyBorder="1" applyAlignment="1"/>
    <xf numFmtId="0" fontId="0" fillId="0" borderId="17" xfId="0" applyFont="1" applyBorder="1" applyAlignment="1"/>
    <xf numFmtId="2" fontId="0" fillId="0" borderId="18" xfId="0" applyNumberFormat="1" applyFont="1" applyBorder="1" applyAlignment="1"/>
    <xf numFmtId="0" fontId="3" fillId="3" borderId="7" xfId="0" applyFont="1" applyFill="1" applyBorder="1" applyAlignment="1"/>
    <xf numFmtId="164" fontId="3" fillId="3" borderId="1" xfId="1" applyFont="1" applyFill="1" applyBorder="1" applyAlignment="1" applyProtection="1"/>
    <xf numFmtId="0" fontId="6" fillId="0" borderId="13" xfId="0" applyFont="1" applyBorder="1" applyAlignment="1">
      <alignment vertical="center" wrapText="1"/>
    </xf>
    <xf numFmtId="2" fontId="6" fillId="2" borderId="10" xfId="0" applyNumberFormat="1" applyFont="1" applyFill="1" applyBorder="1" applyAlignment="1"/>
    <xf numFmtId="0" fontId="6" fillId="0" borderId="9" xfId="0" applyFont="1" applyBorder="1" applyAlignment="1">
      <alignment vertical="center" wrapText="1"/>
    </xf>
    <xf numFmtId="2" fontId="6" fillId="2" borderId="4" xfId="0" applyNumberFormat="1" applyFont="1" applyFill="1" applyBorder="1" applyAlignment="1"/>
    <xf numFmtId="2" fontId="10" fillId="5" borderId="4" xfId="0" applyNumberFormat="1" applyFont="1" applyFill="1" applyBorder="1" applyAlignment="1"/>
    <xf numFmtId="0" fontId="5" fillId="0" borderId="9" xfId="0" applyFont="1" applyBorder="1" applyAlignment="1">
      <alignment vertical="center" wrapText="1"/>
    </xf>
    <xf numFmtId="0" fontId="6" fillId="0" borderId="13" xfId="0" applyFont="1" applyBorder="1" applyAlignment="1">
      <alignment horizontal="left" wrapText="1"/>
    </xf>
    <xf numFmtId="0" fontId="6" fillId="6" borderId="9" xfId="0" applyFont="1" applyFill="1" applyBorder="1" applyAlignment="1">
      <alignment vertical="center" wrapText="1"/>
    </xf>
    <xf numFmtId="2" fontId="6" fillId="6" borderId="4" xfId="0" applyNumberFormat="1" applyFont="1" applyFill="1" applyBorder="1" applyAlignment="1"/>
    <xf numFmtId="0" fontId="9" fillId="2" borderId="9" xfId="0" applyFont="1" applyFill="1" applyBorder="1" applyAlignment="1">
      <alignment horizontal="right" vertical="center" wrapText="1"/>
    </xf>
    <xf numFmtId="2" fontId="7" fillId="2" borderId="4" xfId="0" applyNumberFormat="1" applyFont="1" applyFill="1" applyBorder="1" applyAlignment="1"/>
    <xf numFmtId="0" fontId="1" fillId="3" borderId="4" xfId="0" applyFont="1" applyFill="1" applyBorder="1" applyAlignment="1">
      <alignment wrapText="1"/>
    </xf>
    <xf numFmtId="2" fontId="6" fillId="3" borderId="4" xfId="0" applyNumberFormat="1" applyFont="1" applyFill="1" applyBorder="1" applyAlignment="1"/>
    <xf numFmtId="2" fontId="6" fillId="3" borderId="19" xfId="0" applyNumberFormat="1" applyFont="1" applyFill="1" applyBorder="1" applyAlignment="1"/>
    <xf numFmtId="0" fontId="5" fillId="0" borderId="11" xfId="0" applyFont="1" applyBorder="1" applyAlignment="1">
      <alignment vertical="center"/>
    </xf>
    <xf numFmtId="1" fontId="4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Alignment="1"/>
    <xf numFmtId="166" fontId="0" fillId="0" borderId="0" xfId="0" applyNumberFormat="1" applyAlignment="1"/>
    <xf numFmtId="0" fontId="0" fillId="0" borderId="4" xfId="0" applyBorder="1"/>
    <xf numFmtId="165" fontId="3" fillId="7" borderId="1" xfId="1" applyNumberFormat="1" applyFont="1" applyFill="1" applyBorder="1" applyAlignment="1" applyProtection="1">
      <alignment horizontal="right"/>
    </xf>
    <xf numFmtId="164" fontId="7" fillId="0" borderId="10" xfId="1" applyFont="1" applyBorder="1" applyAlignment="1" applyProtection="1"/>
    <xf numFmtId="164" fontId="7" fillId="0" borderId="4" xfId="1" applyFont="1" applyBorder="1" applyAlignment="1" applyProtection="1"/>
    <xf numFmtId="164" fontId="6" fillId="4" borderId="12" xfId="1" applyFont="1" applyFill="1" applyBorder="1" applyAlignment="1" applyProtection="1"/>
    <xf numFmtId="164" fontId="6" fillId="0" borderId="10" xfId="1" applyFont="1" applyBorder="1" applyAlignment="1" applyProtection="1"/>
    <xf numFmtId="164" fontId="0" fillId="0" borderId="4" xfId="1" applyFont="1" applyBorder="1" applyAlignment="1" applyProtection="1"/>
    <xf numFmtId="164" fontId="3" fillId="7" borderId="12" xfId="1" applyFont="1" applyFill="1" applyBorder="1" applyAlignment="1" applyProtection="1"/>
    <xf numFmtId="164" fontId="0" fillId="0" borderId="16" xfId="1" applyFont="1" applyBorder="1" applyAlignment="1" applyProtection="1"/>
    <xf numFmtId="164" fontId="0" fillId="0" borderId="18" xfId="1" applyFont="1" applyBorder="1" applyAlignment="1" applyProtection="1"/>
    <xf numFmtId="164" fontId="3" fillId="7" borderId="1" xfId="1" applyFont="1" applyFill="1" applyBorder="1" applyAlignment="1" applyProtection="1"/>
    <xf numFmtId="164" fontId="6" fillId="2" borderId="10" xfId="1" applyFont="1" applyFill="1" applyBorder="1" applyAlignment="1" applyProtection="1"/>
    <xf numFmtId="164" fontId="6" fillId="2" borderId="4" xfId="1" applyFont="1" applyFill="1" applyBorder="1" applyAlignment="1" applyProtection="1"/>
    <xf numFmtId="164" fontId="10" fillId="5" borderId="4" xfId="1" applyFont="1" applyFill="1" applyBorder="1" applyAlignment="1" applyProtection="1"/>
    <xf numFmtId="164" fontId="16" fillId="6" borderId="4" xfId="1" applyFont="1" applyFill="1" applyBorder="1" applyAlignment="1" applyProtection="1"/>
    <xf numFmtId="164" fontId="7" fillId="2" borderId="4" xfId="1" applyFont="1" applyFill="1" applyBorder="1" applyAlignment="1" applyProtection="1"/>
    <xf numFmtId="0" fontId="1" fillId="6" borderId="9" xfId="0" applyFont="1" applyFill="1" applyBorder="1" applyAlignment="1">
      <alignment horizontal="left" vertical="center" wrapText="1"/>
    </xf>
    <xf numFmtId="164" fontId="1" fillId="7" borderId="4" xfId="1" applyFont="1" applyFill="1" applyBorder="1" applyAlignment="1" applyProtection="1"/>
    <xf numFmtId="0" fontId="1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wrapText="1"/>
    </xf>
    <xf numFmtId="164" fontId="6" fillId="2" borderId="19" xfId="1" applyFont="1" applyFill="1" applyBorder="1" applyAlignment="1" applyProtection="1"/>
    <xf numFmtId="2" fontId="6" fillId="8" borderId="4" xfId="0" applyNumberFormat="1" applyFont="1" applyFill="1" applyBorder="1" applyAlignment="1"/>
    <xf numFmtId="0" fontId="3" fillId="0" borderId="13" xfId="0" applyFont="1" applyBorder="1" applyAlignment="1">
      <alignment horizontal="left" wrapText="1"/>
    </xf>
    <xf numFmtId="164" fontId="3" fillId="2" borderId="4" xfId="1" applyFont="1" applyFill="1" applyBorder="1" applyAlignment="1" applyProtection="1"/>
    <xf numFmtId="0" fontId="5" fillId="7" borderId="11" xfId="0" applyFont="1" applyFill="1" applyBorder="1" applyAlignment="1">
      <alignment vertical="center"/>
    </xf>
    <xf numFmtId="164" fontId="4" fillId="7" borderId="12" xfId="1" applyFont="1" applyFill="1" applyBorder="1" applyAlignment="1" applyProtection="1">
      <alignment horizontal="center" vertical="center"/>
    </xf>
    <xf numFmtId="0" fontId="0" fillId="8" borderId="0" xfId="0" applyFill="1"/>
    <xf numFmtId="164" fontId="15" fillId="3" borderId="1" xfId="1" applyFont="1" applyFill="1" applyBorder="1" applyAlignment="1" applyProtection="1">
      <alignment horizontal="center" vertical="center" wrapText="1"/>
    </xf>
    <xf numFmtId="165" fontId="0" fillId="0" borderId="0" xfId="0" applyNumberFormat="1" applyBorder="1"/>
    <xf numFmtId="164" fontId="6" fillId="3" borderId="4" xfId="1" applyFont="1" applyFill="1" applyBorder="1" applyAlignment="1" applyProtection="1"/>
    <xf numFmtId="166" fontId="0" fillId="0" borderId="4" xfId="0" applyNumberFormat="1" applyBorder="1"/>
    <xf numFmtId="0" fontId="0" fillId="2" borderId="0" xfId="0" applyFill="1"/>
    <xf numFmtId="164" fontId="0" fillId="2" borderId="0" xfId="0" applyNumberFormat="1" applyFill="1"/>
    <xf numFmtId="0" fontId="20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>
      <alignment horizontal="left"/>
    </xf>
  </cellXfs>
  <cellStyles count="4">
    <cellStyle name="Обычный" xfId="0" builtinId="0"/>
    <cellStyle name="Обычный 2" xfId="2" xr:uid="{00000000-0005-0000-0000-000006000000}"/>
    <cellStyle name="Финансовый" xfId="1" builtinId="3"/>
    <cellStyle name="Финансовый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opLeftCell="A36" zoomScaleNormal="100" workbookViewId="0">
      <selection activeCell="H58" sqref="H58"/>
    </sheetView>
  </sheetViews>
  <sheetFormatPr defaultRowHeight="12.75" x14ac:dyDescent="0.2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 x14ac:dyDescent="0.2">
      <c r="B1" s="1"/>
      <c r="C1" s="1"/>
    </row>
    <row r="2" spans="1:4" ht="52.5" customHeight="1" x14ac:dyDescent="0.2">
      <c r="A2" s="88" t="s">
        <v>0</v>
      </c>
      <c r="B2" s="88"/>
      <c r="C2" s="88"/>
    </row>
    <row r="3" spans="1:4" ht="16.5" customHeight="1" x14ac:dyDescent="0.2">
      <c r="A3" s="2"/>
      <c r="B3" s="3"/>
      <c r="C3" s="4"/>
    </row>
    <row r="4" spans="1:4" ht="19.5" customHeight="1" x14ac:dyDescent="0.2">
      <c r="A4" s="89" t="s">
        <v>1</v>
      </c>
      <c r="B4" s="90" t="s">
        <v>2</v>
      </c>
      <c r="C4" s="91">
        <f>C9+C13+C20+C21+C23+C24+C25+C26+C27+C28+C29+C30+C31+C32+C34+C35+C37+C38+C39+C40+C41+C42+C43+C44</f>
        <v>4303819.4939999999</v>
      </c>
    </row>
    <row r="5" spans="1:4" ht="18.75" customHeight="1" x14ac:dyDescent="0.2">
      <c r="A5" s="89"/>
      <c r="B5" s="90"/>
      <c r="C5" s="91"/>
      <c r="D5" s="5"/>
    </row>
    <row r="6" spans="1:4" ht="18.75" customHeight="1" x14ac:dyDescent="0.2">
      <c r="A6" s="89"/>
      <c r="B6" s="92" t="s">
        <v>3</v>
      </c>
      <c r="C6" s="92"/>
    </row>
    <row r="7" spans="1:4" ht="18.75" customHeight="1" x14ac:dyDescent="0.25">
      <c r="A7" s="89"/>
      <c r="B7" s="6"/>
      <c r="C7" s="7"/>
      <c r="D7" s="5"/>
    </row>
    <row r="8" spans="1:4" ht="15" customHeight="1" x14ac:dyDescent="0.2">
      <c r="A8" s="89"/>
      <c r="B8" s="8"/>
      <c r="C8" s="9"/>
    </row>
    <row r="9" spans="1:4" ht="42.75" customHeight="1" x14ac:dyDescent="0.2">
      <c r="A9" s="89"/>
      <c r="B9" s="10" t="s">
        <v>4</v>
      </c>
      <c r="C9" s="11">
        <v>840697</v>
      </c>
    </row>
    <row r="10" spans="1:4" ht="15" customHeight="1" x14ac:dyDescent="0.2">
      <c r="A10" s="89"/>
      <c r="B10" s="12" t="s">
        <v>5</v>
      </c>
      <c r="C10" s="13"/>
    </row>
    <row r="11" spans="1:4" ht="12.75" customHeight="1" x14ac:dyDescent="0.2">
      <c r="A11" s="89"/>
      <c r="B11" s="14"/>
      <c r="C11" s="15"/>
      <c r="D11" s="16"/>
    </row>
    <row r="12" spans="1:4" ht="15.75" customHeight="1" x14ac:dyDescent="0.2">
      <c r="A12" s="89"/>
      <c r="B12" s="17" t="s">
        <v>6</v>
      </c>
      <c r="C12" s="18"/>
    </row>
    <row r="13" spans="1:4" x14ac:dyDescent="0.2">
      <c r="A13" s="89"/>
      <c r="B13" s="19"/>
      <c r="C13" s="20">
        <f>C9*30.2/100</f>
        <v>253890.49399999998</v>
      </c>
    </row>
    <row r="14" spans="1:4" x14ac:dyDescent="0.2">
      <c r="A14" s="89"/>
      <c r="B14" s="19" t="s">
        <v>7</v>
      </c>
      <c r="C14" s="20">
        <f>C10*22/100</f>
        <v>0</v>
      </c>
    </row>
    <row r="15" spans="1:4" x14ac:dyDescent="0.2">
      <c r="A15" s="89"/>
      <c r="B15" s="10" t="s">
        <v>8</v>
      </c>
      <c r="C15" s="21">
        <f>C16+C17+C18</f>
        <v>0</v>
      </c>
    </row>
    <row r="16" spans="1:4" x14ac:dyDescent="0.2">
      <c r="A16" s="89"/>
      <c r="B16" s="19" t="s">
        <v>9</v>
      </c>
      <c r="C16" s="20">
        <f>C8*0.2/100</f>
        <v>0</v>
      </c>
    </row>
    <row r="17" spans="1:4" x14ac:dyDescent="0.2">
      <c r="A17" s="89"/>
      <c r="B17" s="22" t="s">
        <v>10</v>
      </c>
      <c r="C17" s="20">
        <f>C8*2.9/100</f>
        <v>0</v>
      </c>
    </row>
    <row r="18" spans="1:4" x14ac:dyDescent="0.2">
      <c r="A18" s="89"/>
      <c r="B18" s="22" t="s">
        <v>11</v>
      </c>
      <c r="C18" s="20">
        <f>C8*5.1/100</f>
        <v>0</v>
      </c>
    </row>
    <row r="19" spans="1:4" ht="33.75" customHeight="1" x14ac:dyDescent="0.25">
      <c r="A19" s="89"/>
      <c r="B19" s="23"/>
      <c r="C19" s="24"/>
      <c r="D19" s="25"/>
    </row>
    <row r="20" spans="1:4" x14ac:dyDescent="0.2">
      <c r="A20" s="89"/>
      <c r="B20" s="26" t="s">
        <v>12</v>
      </c>
      <c r="C20" s="27">
        <v>82318</v>
      </c>
    </row>
    <row r="21" spans="1:4" x14ac:dyDescent="0.2">
      <c r="A21" s="89"/>
      <c r="B21" s="28" t="s">
        <v>13</v>
      </c>
      <c r="C21" s="29">
        <v>5000</v>
      </c>
    </row>
    <row r="22" spans="1:4" ht="17.25" customHeight="1" x14ac:dyDescent="0.25">
      <c r="A22" s="89"/>
      <c r="B22" s="30"/>
      <c r="C22" s="31"/>
      <c r="D22" s="16"/>
    </row>
    <row r="23" spans="1:4" ht="15.75" customHeight="1" x14ac:dyDescent="0.2">
      <c r="A23" s="89"/>
      <c r="B23" s="32" t="s">
        <v>14</v>
      </c>
      <c r="C23" s="33">
        <f>30000+18076</f>
        <v>48076</v>
      </c>
    </row>
    <row r="24" spans="1:4" ht="15.75" customHeight="1" x14ac:dyDescent="0.2">
      <c r="A24" s="89"/>
      <c r="B24" s="32" t="s">
        <v>15</v>
      </c>
      <c r="C24" s="33">
        <v>4900</v>
      </c>
    </row>
    <row r="25" spans="1:4" x14ac:dyDescent="0.2">
      <c r="A25" s="89"/>
      <c r="B25" s="34" t="s">
        <v>16</v>
      </c>
      <c r="C25" s="35">
        <v>90000</v>
      </c>
    </row>
    <row r="26" spans="1:4" x14ac:dyDescent="0.2">
      <c r="A26" s="89"/>
      <c r="B26" s="34" t="s">
        <v>17</v>
      </c>
      <c r="C26" s="36">
        <v>13917</v>
      </c>
    </row>
    <row r="27" spans="1:4" x14ac:dyDescent="0.2">
      <c r="A27" s="89"/>
      <c r="B27" s="37" t="s">
        <v>18</v>
      </c>
      <c r="C27" s="35">
        <v>5000</v>
      </c>
    </row>
    <row r="28" spans="1:4" ht="13.5" customHeight="1" x14ac:dyDescent="0.2">
      <c r="A28" s="89"/>
      <c r="B28" s="34" t="s">
        <v>19</v>
      </c>
      <c r="C28" s="35">
        <v>100000</v>
      </c>
    </row>
    <row r="29" spans="1:4" ht="17.25" customHeight="1" x14ac:dyDescent="0.2">
      <c r="A29" s="89"/>
      <c r="B29" s="34" t="s">
        <v>20</v>
      </c>
      <c r="C29" s="35">
        <v>100000</v>
      </c>
    </row>
    <row r="30" spans="1:4" ht="27.75" customHeight="1" x14ac:dyDescent="0.2">
      <c r="A30" s="89"/>
      <c r="B30" s="38" t="s">
        <v>21</v>
      </c>
      <c r="C30" s="35">
        <v>170000</v>
      </c>
    </row>
    <row r="31" spans="1:4" ht="27.75" customHeight="1" x14ac:dyDescent="0.2">
      <c r="A31" s="89"/>
      <c r="B31" s="38" t="s">
        <v>22</v>
      </c>
      <c r="C31" s="35">
        <f>80000-30000</f>
        <v>50000</v>
      </c>
    </row>
    <row r="32" spans="1:4" ht="15.75" customHeight="1" x14ac:dyDescent="0.2">
      <c r="A32" s="89"/>
      <c r="B32" s="34" t="s">
        <v>23</v>
      </c>
      <c r="C32" s="35">
        <f>15000*3*12*1.3002-600000</f>
        <v>102108</v>
      </c>
    </row>
    <row r="33" spans="1:4" ht="57.75" customHeight="1" x14ac:dyDescent="0.2">
      <c r="A33" s="89"/>
      <c r="B33" s="39" t="s">
        <v>24</v>
      </c>
      <c r="C33" s="40"/>
    </row>
    <row r="34" spans="1:4" ht="20.25" customHeight="1" x14ac:dyDescent="0.2">
      <c r="A34" s="89"/>
      <c r="B34" s="41" t="s">
        <v>25</v>
      </c>
      <c r="C34" s="42">
        <v>82000</v>
      </c>
    </row>
    <row r="35" spans="1:4" ht="20.25" customHeight="1" x14ac:dyDescent="0.2">
      <c r="A35" s="89"/>
      <c r="B35" s="41" t="s">
        <v>26</v>
      </c>
      <c r="C35" s="42">
        <v>9900</v>
      </c>
    </row>
    <row r="36" spans="1:4" ht="20.25" customHeight="1" x14ac:dyDescent="0.2">
      <c r="A36" s="89"/>
      <c r="B36" s="41" t="s">
        <v>27</v>
      </c>
      <c r="C36" s="42"/>
    </row>
    <row r="37" spans="1:4" ht="38.25" customHeight="1" x14ac:dyDescent="0.25">
      <c r="A37" s="89"/>
      <c r="B37" s="43" t="s">
        <v>28</v>
      </c>
      <c r="C37" s="44">
        <v>206000</v>
      </c>
    </row>
    <row r="38" spans="1:4" ht="27.75" customHeight="1" x14ac:dyDescent="0.25">
      <c r="A38" s="89"/>
      <c r="B38" s="43" t="s">
        <v>29</v>
      </c>
      <c r="C38" s="44">
        <v>116700</v>
      </c>
    </row>
    <row r="39" spans="1:4" ht="45.75" customHeight="1" x14ac:dyDescent="0.25">
      <c r="A39" s="89"/>
      <c r="B39" s="43" t="s">
        <v>30</v>
      </c>
      <c r="C39" s="45">
        <v>14500</v>
      </c>
    </row>
    <row r="40" spans="1:4" ht="27" customHeight="1" x14ac:dyDescent="0.25">
      <c r="A40" s="89"/>
      <c r="B40" s="43" t="s">
        <v>31</v>
      </c>
      <c r="C40" s="44">
        <f>13*108000</f>
        <v>1404000</v>
      </c>
    </row>
    <row r="41" spans="1:4" ht="28.5" customHeight="1" x14ac:dyDescent="0.25">
      <c r="A41" s="89"/>
      <c r="B41" s="43" t="s">
        <v>32</v>
      </c>
      <c r="C41" s="44">
        <f>14867*13*3</f>
        <v>579813</v>
      </c>
      <c r="D41" s="16"/>
    </row>
    <row r="42" spans="1:4" ht="53.25" customHeight="1" x14ac:dyDescent="0.25">
      <c r="A42" s="89"/>
      <c r="B42" s="43" t="s">
        <v>33</v>
      </c>
      <c r="C42" s="44">
        <v>25000</v>
      </c>
      <c r="D42" s="16"/>
    </row>
    <row r="43" spans="1:4" ht="53.25" customHeight="1" x14ac:dyDescent="0.25">
      <c r="A43" s="89"/>
      <c r="B43" s="43" t="s">
        <v>34</v>
      </c>
      <c r="C43" s="44"/>
      <c r="D43" s="16"/>
    </row>
    <row r="44" spans="1:4" ht="53.25" customHeight="1" x14ac:dyDescent="0.25">
      <c r="A44" s="89"/>
      <c r="B44" s="43" t="s">
        <v>35</v>
      </c>
      <c r="C44" s="44"/>
      <c r="D44" s="16"/>
    </row>
    <row r="45" spans="1:4" ht="21" customHeight="1" x14ac:dyDescent="0.2">
      <c r="A45" s="89"/>
      <c r="B45" s="46" t="s">
        <v>36</v>
      </c>
      <c r="C45" s="47">
        <v>1967.96</v>
      </c>
    </row>
    <row r="46" spans="1:4" s="51" customFormat="1" ht="71.25" customHeight="1" x14ac:dyDescent="0.2">
      <c r="A46" s="48" t="s">
        <v>37</v>
      </c>
      <c r="B46" s="49" t="s">
        <v>38</v>
      </c>
      <c r="C46" s="50">
        <f>C4/1968</f>
        <v>2186.9001493902438</v>
      </c>
    </row>
    <row r="47" spans="1:4" x14ac:dyDescent="0.2">
      <c r="B47" s="52"/>
      <c r="C47" s="52"/>
    </row>
    <row r="48" spans="1:4" x14ac:dyDescent="0.2">
      <c r="B48" s="52"/>
      <c r="C48" s="53"/>
      <c r="D48" t="s">
        <v>39</v>
      </c>
    </row>
    <row r="49" spans="2:4" ht="15.75" x14ac:dyDescent="0.25">
      <c r="B49" s="43" t="s">
        <v>40</v>
      </c>
      <c r="C49" s="44">
        <f>D49*195</f>
        <v>3120000</v>
      </c>
      <c r="D49" s="54">
        <v>16000</v>
      </c>
    </row>
  </sheetData>
  <mergeCells count="5">
    <mergeCell ref="A2:C2"/>
    <mergeCell ref="A4:A45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tabSelected="1" topLeftCell="A37" zoomScaleNormal="100" workbookViewId="0">
      <selection activeCell="C37" sqref="C37"/>
    </sheetView>
  </sheetViews>
  <sheetFormatPr defaultRowHeight="12.75" x14ac:dyDescent="0.2"/>
  <cols>
    <col min="1" max="1" width="5" customWidth="1"/>
    <col min="2" max="2" width="67" customWidth="1"/>
    <col min="3" max="3" width="20.5703125" customWidth="1"/>
    <col min="4" max="4" width="16.140625" customWidth="1"/>
    <col min="5" max="1025" width="9" customWidth="1"/>
  </cols>
  <sheetData>
    <row r="1" spans="1:4" ht="13.5" customHeight="1" x14ac:dyDescent="0.2">
      <c r="B1" s="1"/>
      <c r="C1" s="1"/>
    </row>
    <row r="2" spans="1:4" ht="52.5" customHeight="1" x14ac:dyDescent="0.2">
      <c r="A2" s="88" t="s">
        <v>0</v>
      </c>
      <c r="B2" s="88"/>
      <c r="C2" s="88"/>
    </row>
    <row r="3" spans="1:4" ht="16.5" customHeight="1" x14ac:dyDescent="0.2">
      <c r="A3" s="2"/>
      <c r="B3" s="3"/>
      <c r="C3" s="4"/>
    </row>
    <row r="4" spans="1:4" ht="19.5" customHeight="1" x14ac:dyDescent="0.2">
      <c r="A4" s="89" t="s">
        <v>1</v>
      </c>
      <c r="B4" s="90" t="s">
        <v>2</v>
      </c>
      <c r="C4" s="91">
        <f>C7+C17+C20+C34</f>
        <v>2941319.4939999999</v>
      </c>
    </row>
    <row r="5" spans="1:4" ht="18.75" customHeight="1" x14ac:dyDescent="0.2">
      <c r="A5" s="89"/>
      <c r="B5" s="90"/>
      <c r="C5" s="91"/>
      <c r="D5" s="5"/>
    </row>
    <row r="6" spans="1:4" ht="18.75" customHeight="1" x14ac:dyDescent="0.2">
      <c r="A6" s="89"/>
      <c r="B6" s="92" t="s">
        <v>3</v>
      </c>
      <c r="C6" s="92"/>
    </row>
    <row r="7" spans="1:4" ht="18.75" customHeight="1" x14ac:dyDescent="0.25">
      <c r="A7" s="89"/>
      <c r="B7" s="6" t="s">
        <v>41</v>
      </c>
      <c r="C7" s="55">
        <f>C8+C11</f>
        <v>1094587.4939999999</v>
      </c>
      <c r="D7" s="5"/>
    </row>
    <row r="8" spans="1:4" ht="15" customHeight="1" x14ac:dyDescent="0.2">
      <c r="A8" s="89"/>
      <c r="B8" s="8"/>
      <c r="C8" s="9">
        <f>C9+C10</f>
        <v>840697</v>
      </c>
    </row>
    <row r="9" spans="1:4" ht="26.25" customHeight="1" x14ac:dyDescent="0.2">
      <c r="A9" s="89"/>
      <c r="B9" s="10" t="s">
        <v>4</v>
      </c>
      <c r="C9" s="56">
        <v>840697</v>
      </c>
    </row>
    <row r="10" spans="1:4" ht="15" customHeight="1" x14ac:dyDescent="0.2">
      <c r="A10" s="89"/>
      <c r="B10" s="12" t="s">
        <v>5</v>
      </c>
      <c r="C10" s="57"/>
    </row>
    <row r="11" spans="1:4" ht="12.75" customHeight="1" x14ac:dyDescent="0.2">
      <c r="A11" s="89"/>
      <c r="B11" s="14"/>
      <c r="C11" s="58">
        <f>SUM(C13:C16)</f>
        <v>253890.49399999998</v>
      </c>
      <c r="D11" s="16"/>
    </row>
    <row r="12" spans="1:4" ht="15.75" customHeight="1" x14ac:dyDescent="0.2">
      <c r="A12" s="89"/>
      <c r="B12" s="17" t="s">
        <v>42</v>
      </c>
      <c r="C12" s="59"/>
    </row>
    <row r="13" spans="1:4" x14ac:dyDescent="0.2">
      <c r="A13" s="89"/>
      <c r="B13" s="19" t="s">
        <v>43</v>
      </c>
      <c r="C13" s="60">
        <f>C9*22/100</f>
        <v>184953.34</v>
      </c>
    </row>
    <row r="14" spans="1:4" x14ac:dyDescent="0.2">
      <c r="A14" s="89"/>
      <c r="B14" s="19" t="s">
        <v>44</v>
      </c>
      <c r="C14" s="60">
        <f>C9*0.2/100</f>
        <v>1681.3940000000002</v>
      </c>
    </row>
    <row r="15" spans="1:4" x14ac:dyDescent="0.2">
      <c r="A15" s="89"/>
      <c r="B15" s="22" t="s">
        <v>45</v>
      </c>
      <c r="C15" s="60">
        <f>C9*2.9/100</f>
        <v>24380.213</v>
      </c>
    </row>
    <row r="16" spans="1:4" x14ac:dyDescent="0.2">
      <c r="A16" s="89"/>
      <c r="B16" s="22" t="s">
        <v>46</v>
      </c>
      <c r="C16" s="60">
        <f>C9*5.1/100</f>
        <v>42875.546999999991</v>
      </c>
    </row>
    <row r="17" spans="1:4" ht="33.75" customHeight="1" x14ac:dyDescent="0.25">
      <c r="A17" s="89"/>
      <c r="B17" s="23" t="s">
        <v>47</v>
      </c>
      <c r="C17" s="61">
        <f>C18+C19</f>
        <v>87318</v>
      </c>
      <c r="D17" s="25"/>
    </row>
    <row r="18" spans="1:4" x14ac:dyDescent="0.2">
      <c r="A18" s="89"/>
      <c r="B18" s="26" t="s">
        <v>12</v>
      </c>
      <c r="C18" s="62">
        <v>82318</v>
      </c>
    </row>
    <row r="19" spans="1:4" x14ac:dyDescent="0.2">
      <c r="A19" s="89"/>
      <c r="B19" s="28" t="s">
        <v>13</v>
      </c>
      <c r="C19" s="63">
        <v>5000</v>
      </c>
    </row>
    <row r="20" spans="1:4" ht="29.25" customHeight="1" x14ac:dyDescent="0.25">
      <c r="A20" s="89"/>
      <c r="B20" s="30" t="s">
        <v>48</v>
      </c>
      <c r="C20" s="64">
        <f>SUM(C21:C30)</f>
        <v>725901</v>
      </c>
      <c r="D20" s="16"/>
    </row>
    <row r="21" spans="1:4" ht="15.75" customHeight="1" x14ac:dyDescent="0.2">
      <c r="A21" s="89"/>
      <c r="B21" s="32" t="s">
        <v>14</v>
      </c>
      <c r="C21" s="65">
        <f>30000+18076</f>
        <v>48076</v>
      </c>
    </row>
    <row r="22" spans="1:4" ht="15.75" customHeight="1" x14ac:dyDescent="0.2">
      <c r="A22" s="89"/>
      <c r="B22" s="32" t="s">
        <v>15</v>
      </c>
      <c r="C22" s="65">
        <v>4900</v>
      </c>
    </row>
    <row r="23" spans="1:4" x14ac:dyDescent="0.2">
      <c r="A23" s="89"/>
      <c r="B23" s="34" t="s">
        <v>16</v>
      </c>
      <c r="C23" s="66">
        <v>90000</v>
      </c>
    </row>
    <row r="24" spans="1:4" ht="24" x14ac:dyDescent="0.2">
      <c r="A24" s="89"/>
      <c r="B24" s="34" t="s">
        <v>49</v>
      </c>
      <c r="C24" s="67">
        <v>13917</v>
      </c>
    </row>
    <row r="25" spans="1:4" x14ac:dyDescent="0.2">
      <c r="A25" s="89"/>
      <c r="B25" s="37" t="s">
        <v>18</v>
      </c>
      <c r="C25" s="66">
        <v>5000</v>
      </c>
    </row>
    <row r="26" spans="1:4" ht="13.5" customHeight="1" x14ac:dyDescent="0.2">
      <c r="A26" s="89"/>
      <c r="B26" s="34" t="s">
        <v>19</v>
      </c>
      <c r="C26" s="66">
        <v>100000</v>
      </c>
    </row>
    <row r="27" spans="1:4" ht="17.25" customHeight="1" x14ac:dyDescent="0.2">
      <c r="A27" s="89"/>
      <c r="B27" s="34" t="s">
        <v>20</v>
      </c>
      <c r="C27" s="66">
        <v>100000</v>
      </c>
    </row>
    <row r="28" spans="1:4" ht="16.5" customHeight="1" x14ac:dyDescent="0.2">
      <c r="A28" s="89"/>
      <c r="B28" s="38" t="s">
        <v>21</v>
      </c>
      <c r="C28" s="66">
        <v>170000</v>
      </c>
    </row>
    <row r="29" spans="1:4" ht="15.75" customHeight="1" x14ac:dyDescent="0.2">
      <c r="A29" s="89"/>
      <c r="B29" s="34" t="s">
        <v>23</v>
      </c>
      <c r="C29" s="66">
        <f>15000*3*12*1.3002-600000</f>
        <v>102108</v>
      </c>
    </row>
    <row r="30" spans="1:4" ht="57.75" customHeight="1" x14ac:dyDescent="0.2">
      <c r="A30" s="89"/>
      <c r="B30" s="39" t="s">
        <v>50</v>
      </c>
      <c r="C30" s="68">
        <f>SUM(C31:C33)</f>
        <v>91900</v>
      </c>
    </row>
    <row r="31" spans="1:4" ht="20.25" customHeight="1" x14ac:dyDescent="0.2">
      <c r="A31" s="89"/>
      <c r="B31" s="41" t="s">
        <v>25</v>
      </c>
      <c r="C31" s="69">
        <v>82000</v>
      </c>
    </row>
    <row r="32" spans="1:4" ht="20.25" customHeight="1" x14ac:dyDescent="0.2">
      <c r="A32" s="89"/>
      <c r="B32" s="41" t="s">
        <v>26</v>
      </c>
      <c r="C32" s="69">
        <v>9900</v>
      </c>
    </row>
    <row r="33" spans="1:5" ht="20.25" customHeight="1" x14ac:dyDescent="0.2">
      <c r="A33" s="89"/>
      <c r="B33" s="41" t="s">
        <v>27</v>
      </c>
      <c r="C33" s="42"/>
    </row>
    <row r="34" spans="1:5" ht="24" customHeight="1" x14ac:dyDescent="0.25">
      <c r="A34" s="89"/>
      <c r="B34" s="70" t="s">
        <v>51</v>
      </c>
      <c r="C34" s="71">
        <f>SUM(C35:C45)</f>
        <v>1033513</v>
      </c>
    </row>
    <row r="35" spans="1:5" ht="38.25" customHeight="1" x14ac:dyDescent="0.25">
      <c r="A35" s="89"/>
      <c r="B35" s="72" t="s">
        <v>52</v>
      </c>
      <c r="C35" s="66">
        <v>206000</v>
      </c>
    </row>
    <row r="36" spans="1:5" ht="53.25" customHeight="1" x14ac:dyDescent="0.25">
      <c r="A36" s="89"/>
      <c r="B36" s="73" t="s">
        <v>53</v>
      </c>
      <c r="C36" s="66">
        <v>116700</v>
      </c>
    </row>
    <row r="37" spans="1:5" ht="99.75" customHeight="1" x14ac:dyDescent="0.25">
      <c r="A37" s="89"/>
      <c r="B37" s="73" t="s">
        <v>66</v>
      </c>
      <c r="C37" s="74">
        <v>38000</v>
      </c>
    </row>
    <row r="38" spans="1:5" ht="53.25" customHeight="1" x14ac:dyDescent="0.25">
      <c r="A38" s="89"/>
      <c r="B38" s="73"/>
      <c r="C38" s="66"/>
    </row>
    <row r="39" spans="1:5" ht="51" customHeight="1" x14ac:dyDescent="0.25">
      <c r="A39" s="89"/>
      <c r="B39" s="72" t="s">
        <v>54</v>
      </c>
      <c r="C39" s="66">
        <f>14867*13*3</f>
        <v>579813</v>
      </c>
      <c r="D39" s="16"/>
    </row>
    <row r="40" spans="1:5" ht="34.5" customHeight="1" x14ac:dyDescent="0.25">
      <c r="A40" s="89"/>
      <c r="B40" s="72" t="s">
        <v>55</v>
      </c>
      <c r="C40" s="66">
        <v>25000</v>
      </c>
      <c r="D40" s="16"/>
    </row>
    <row r="41" spans="1:5" ht="29.25" customHeight="1" x14ac:dyDescent="0.25">
      <c r="A41" s="89"/>
      <c r="B41" s="72" t="s">
        <v>56</v>
      </c>
      <c r="D41" s="75"/>
    </row>
    <row r="42" spans="1:5" ht="39" customHeight="1" x14ac:dyDescent="0.25">
      <c r="A42" s="89"/>
      <c r="B42" s="72" t="s">
        <v>57</v>
      </c>
      <c r="C42">
        <v>18000</v>
      </c>
      <c r="D42" s="75" t="s">
        <v>58</v>
      </c>
    </row>
    <row r="43" spans="1:5" ht="33.75" customHeight="1" x14ac:dyDescent="0.25">
      <c r="A43" s="89"/>
      <c r="B43" s="76" t="s">
        <v>59</v>
      </c>
      <c r="C43" s="77">
        <f>80000-30000</f>
        <v>50000</v>
      </c>
      <c r="D43" s="16"/>
    </row>
    <row r="44" spans="1:5" ht="27.75" customHeight="1" x14ac:dyDescent="0.25">
      <c r="A44" s="89"/>
      <c r="B44" s="72"/>
      <c r="C44" s="35"/>
      <c r="D44" s="16"/>
    </row>
    <row r="45" spans="1:5" ht="21" customHeight="1" x14ac:dyDescent="0.25">
      <c r="A45" s="89"/>
      <c r="B45" s="72"/>
      <c r="C45" s="35"/>
      <c r="D45" s="16"/>
    </row>
    <row r="46" spans="1:5" ht="21" customHeight="1" x14ac:dyDescent="0.2">
      <c r="A46" s="89"/>
      <c r="B46" s="78" t="s">
        <v>60</v>
      </c>
      <c r="C46" s="79">
        <v>1967.96</v>
      </c>
      <c r="E46" s="80"/>
    </row>
    <row r="47" spans="1:5" s="51" customFormat="1" ht="57" customHeight="1" x14ac:dyDescent="0.2">
      <c r="A47" s="48" t="s">
        <v>37</v>
      </c>
      <c r="B47" s="49" t="s">
        <v>61</v>
      </c>
      <c r="C47" s="81">
        <f>C4/1968</f>
        <v>1494.5729136178861</v>
      </c>
      <c r="D47" s="82"/>
    </row>
    <row r="48" spans="1:5" x14ac:dyDescent="0.2">
      <c r="B48" s="52"/>
      <c r="C48" s="52"/>
    </row>
    <row r="49" spans="2:4" x14ac:dyDescent="0.2">
      <c r="B49" s="52"/>
      <c r="C49" s="53"/>
      <c r="D49" t="s">
        <v>62</v>
      </c>
    </row>
    <row r="50" spans="2:4" ht="35.25" customHeight="1" x14ac:dyDescent="0.25">
      <c r="B50" s="43" t="s">
        <v>63</v>
      </c>
      <c r="C50" s="83">
        <v>3120000</v>
      </c>
      <c r="D50" s="84">
        <f>C50/1967.96</f>
        <v>1585.398077196691</v>
      </c>
    </row>
    <row r="53" spans="2:4" x14ac:dyDescent="0.2">
      <c r="B53" s="85"/>
      <c r="C53" s="85"/>
    </row>
    <row r="54" spans="2:4" x14ac:dyDescent="0.2">
      <c r="B54" s="85"/>
      <c r="C54" s="85"/>
      <c r="D54" t="s">
        <v>62</v>
      </c>
    </row>
    <row r="55" spans="2:4" ht="51" customHeight="1" x14ac:dyDescent="0.25">
      <c r="B55" s="73" t="s">
        <v>64</v>
      </c>
      <c r="C55" s="66">
        <f>13*108000</f>
        <v>1404000</v>
      </c>
      <c r="D55" s="5">
        <f>C55/1967.96</f>
        <v>713.42913473851092</v>
      </c>
    </row>
    <row r="56" spans="2:4" x14ac:dyDescent="0.2">
      <c r="B56" s="86"/>
      <c r="C56" s="87"/>
    </row>
    <row r="57" spans="2:4" ht="21" customHeight="1" x14ac:dyDescent="0.2">
      <c r="B57" s="85" t="s">
        <v>65</v>
      </c>
      <c r="C57" s="85"/>
    </row>
  </sheetData>
  <mergeCells count="5">
    <mergeCell ref="A2:C2"/>
    <mergeCell ref="A4:A46"/>
    <mergeCell ref="B4:B5"/>
    <mergeCell ref="C4:C5"/>
    <mergeCell ref="B6:C6"/>
  </mergeCells>
  <printOptions gridLines="1"/>
  <pageMargins left="0.78749999999999998" right="0" top="0.78749999999999998" bottom="0.196527777777778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2019 расчет взн </vt:lpstr>
      <vt:lpstr>2019 расчет взн 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ulya</dc:creator>
  <cp:keywords/>
  <dc:description/>
  <cp:lastModifiedBy>настя</cp:lastModifiedBy>
  <cp:revision>1</cp:revision>
  <dcterms:created xsi:type="dcterms:W3CDTF">2008-02-14T15:25:17Z</dcterms:created>
  <dcterms:modified xsi:type="dcterms:W3CDTF">2019-04-09T17:20:29Z</dcterms:modified>
  <cp:category/>
  <cp:contentStatus/>
</cp:coreProperties>
</file>