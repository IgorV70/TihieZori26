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05"/>
  <workbookPr/>
  <mc:AlternateContent xmlns:mc="http://schemas.openxmlformats.org/markup-compatibility/2006">
    <mc:Choice Requires="x15">
      <x15ac:absPath xmlns:x15ac="http://schemas.microsoft.com/office/spreadsheetml/2010/11/ac" url="C:\Users\настя\Downloads\"/>
    </mc:Choice>
  </mc:AlternateContent>
  <xr:revisionPtr revIDLastSave="0" documentId="8_{D0C990A8-9556-4962-8E9B-33E48DFABDF4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  <sheet name="Лист2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82" i="2" l="1"/>
  <c r="N107" i="2"/>
  <c r="N44" i="2"/>
  <c r="K211" i="2"/>
  <c r="L211" i="2"/>
  <c r="L210" i="2"/>
  <c r="K209" i="2"/>
  <c r="L209" i="2"/>
  <c r="K208" i="2"/>
  <c r="L208" i="2"/>
  <c r="K207" i="2"/>
  <c r="L207" i="2"/>
  <c r="K206" i="2"/>
  <c r="L206" i="2"/>
  <c r="K205" i="2"/>
  <c r="L205" i="2"/>
  <c r="K204" i="2"/>
  <c r="L204" i="2"/>
  <c r="K203" i="2"/>
  <c r="L203" i="2"/>
  <c r="K202" i="2"/>
  <c r="L202" i="2"/>
  <c r="L201" i="2"/>
  <c r="K200" i="2"/>
  <c r="L200" i="2"/>
  <c r="K199" i="2"/>
  <c r="L199" i="2"/>
  <c r="L198" i="2"/>
  <c r="L197" i="2"/>
  <c r="K196" i="2"/>
  <c r="L196" i="2"/>
  <c r="K195" i="2"/>
  <c r="L195" i="2"/>
  <c r="K194" i="2"/>
  <c r="L194" i="2"/>
  <c r="K193" i="2"/>
  <c r="L193" i="2"/>
  <c r="K192" i="2"/>
  <c r="L192" i="2"/>
  <c r="K191" i="2"/>
  <c r="L191" i="2"/>
  <c r="L190" i="2"/>
  <c r="L189" i="2"/>
  <c r="K188" i="2"/>
  <c r="L188" i="2"/>
  <c r="K187" i="2"/>
  <c r="L187" i="2"/>
  <c r="K186" i="2"/>
  <c r="L186" i="2"/>
  <c r="K185" i="2"/>
  <c r="L185" i="2"/>
  <c r="K184" i="2"/>
  <c r="L184" i="2"/>
  <c r="K183" i="2"/>
  <c r="L183" i="2"/>
  <c r="L182" i="2"/>
  <c r="K181" i="2"/>
  <c r="L181" i="2"/>
  <c r="L180" i="2"/>
  <c r="K179" i="2"/>
  <c r="L179" i="2"/>
  <c r="L178" i="2"/>
  <c r="K177" i="2"/>
  <c r="L177" i="2"/>
  <c r="L176" i="2"/>
  <c r="L175" i="2"/>
  <c r="L174" i="2"/>
  <c r="K173" i="2"/>
  <c r="L173" i="2"/>
  <c r="K172" i="2"/>
  <c r="L172" i="2"/>
  <c r="K171" i="2"/>
  <c r="L171" i="2"/>
  <c r="L170" i="2"/>
  <c r="K169" i="2"/>
  <c r="L169" i="2"/>
  <c r="K168" i="2"/>
  <c r="L168" i="2"/>
  <c r="L167" i="2"/>
  <c r="L166" i="2"/>
  <c r="K165" i="2"/>
  <c r="L165" i="2"/>
  <c r="K164" i="2"/>
  <c r="L164" i="2"/>
  <c r="K163" i="2"/>
  <c r="L163" i="2"/>
  <c r="K162" i="2"/>
  <c r="L162" i="2"/>
  <c r="K161" i="2"/>
  <c r="L161" i="2"/>
  <c r="K160" i="2"/>
  <c r="L160" i="2"/>
  <c r="K159" i="2"/>
  <c r="L159" i="2"/>
  <c r="K158" i="2"/>
  <c r="L158" i="2"/>
  <c r="L157" i="2"/>
  <c r="K156" i="2"/>
  <c r="L156" i="2"/>
  <c r="L155" i="2"/>
  <c r="K154" i="2"/>
  <c r="L154" i="2"/>
  <c r="L153" i="2"/>
  <c r="K152" i="2"/>
  <c r="L152" i="2"/>
  <c r="K151" i="2"/>
  <c r="L151" i="2"/>
  <c r="K150" i="2"/>
  <c r="L150" i="2"/>
  <c r="K149" i="2"/>
  <c r="L149" i="2"/>
  <c r="L148" i="2"/>
  <c r="K147" i="2"/>
  <c r="L147" i="2"/>
  <c r="L146" i="2"/>
  <c r="L145" i="2"/>
  <c r="K144" i="2"/>
  <c r="L144" i="2"/>
  <c r="K143" i="2"/>
  <c r="L143" i="2"/>
  <c r="K142" i="2"/>
  <c r="L142" i="2"/>
  <c r="K141" i="2"/>
  <c r="L141" i="2"/>
  <c r="K140" i="2"/>
  <c r="L140" i="2"/>
  <c r="K139" i="2"/>
  <c r="L139" i="2"/>
  <c r="K138" i="2"/>
  <c r="L138" i="2"/>
  <c r="K137" i="2"/>
  <c r="L137" i="2"/>
  <c r="K136" i="2"/>
  <c r="L136" i="2"/>
  <c r="K135" i="2"/>
  <c r="L135" i="2"/>
  <c r="K134" i="2"/>
  <c r="L134" i="2"/>
  <c r="K133" i="2"/>
  <c r="L133" i="2"/>
  <c r="K132" i="2"/>
  <c r="L132" i="2"/>
  <c r="K131" i="2"/>
  <c r="L131" i="2"/>
  <c r="K130" i="2"/>
  <c r="L130" i="2"/>
  <c r="K129" i="2"/>
  <c r="L129" i="2"/>
  <c r="L128" i="2"/>
  <c r="K127" i="2"/>
  <c r="L127" i="2"/>
  <c r="K126" i="2"/>
  <c r="L126" i="2"/>
  <c r="L125" i="2"/>
  <c r="K124" i="2"/>
  <c r="L124" i="2"/>
  <c r="K123" i="2"/>
  <c r="L123" i="2"/>
  <c r="K122" i="2"/>
  <c r="L122" i="2"/>
  <c r="K121" i="2"/>
  <c r="L121" i="2"/>
  <c r="K120" i="2"/>
  <c r="L120" i="2"/>
  <c r="L119" i="2"/>
  <c r="L118" i="2"/>
  <c r="K117" i="2"/>
  <c r="L117" i="2"/>
  <c r="K116" i="2"/>
  <c r="L116" i="2"/>
  <c r="L115" i="2"/>
  <c r="L114" i="2"/>
  <c r="K113" i="2"/>
  <c r="L113" i="2"/>
  <c r="K112" i="2"/>
  <c r="L112" i="2"/>
  <c r="K111" i="2"/>
  <c r="L111" i="2"/>
  <c r="K110" i="2"/>
  <c r="L110" i="2"/>
  <c r="K109" i="2"/>
  <c r="L109" i="2"/>
  <c r="L108" i="2"/>
  <c r="L107" i="2"/>
  <c r="L106" i="2"/>
  <c r="K105" i="2"/>
  <c r="L105" i="2"/>
  <c r="K104" i="2"/>
  <c r="L104" i="2"/>
  <c r="K103" i="2"/>
  <c r="L103" i="2"/>
  <c r="L102" i="2"/>
  <c r="L101" i="2"/>
  <c r="K100" i="2"/>
  <c r="L100" i="2"/>
  <c r="K99" i="2"/>
  <c r="L99" i="2"/>
  <c r="K98" i="2"/>
  <c r="L98" i="2"/>
  <c r="L97" i="2"/>
  <c r="L96" i="2"/>
  <c r="L95" i="2"/>
  <c r="K94" i="2"/>
  <c r="L94" i="2"/>
  <c r="L93" i="2"/>
  <c r="K92" i="2"/>
  <c r="L92" i="2"/>
  <c r="K91" i="2"/>
  <c r="L91" i="2"/>
  <c r="L90" i="2"/>
  <c r="L89" i="2"/>
  <c r="L88" i="2"/>
  <c r="L87" i="2"/>
  <c r="K86" i="2"/>
  <c r="L86" i="2"/>
  <c r="K85" i="2"/>
  <c r="L85" i="2"/>
  <c r="K84" i="2"/>
  <c r="L84" i="2"/>
  <c r="K83" i="2"/>
  <c r="L83" i="2"/>
  <c r="L82" i="2"/>
  <c r="L81" i="2"/>
  <c r="K80" i="2"/>
  <c r="L80" i="2"/>
  <c r="L79" i="2"/>
  <c r="L78" i="2"/>
  <c r="K77" i="2"/>
  <c r="L77" i="2"/>
  <c r="K76" i="2"/>
  <c r="L76" i="2"/>
  <c r="L75" i="2"/>
  <c r="K74" i="2"/>
  <c r="L74" i="2"/>
  <c r="K73" i="2"/>
  <c r="L73" i="2"/>
  <c r="L72" i="2"/>
  <c r="K71" i="2"/>
  <c r="L71" i="2"/>
  <c r="K70" i="2"/>
  <c r="L70" i="2"/>
  <c r="K69" i="2"/>
  <c r="L69" i="2"/>
  <c r="L68" i="2"/>
  <c r="L67" i="2"/>
  <c r="L66" i="2"/>
  <c r="L65" i="2"/>
  <c r="L64" i="2"/>
  <c r="L63" i="2"/>
  <c r="K62" i="2"/>
  <c r="L62" i="2"/>
  <c r="L61" i="2"/>
  <c r="K60" i="2"/>
  <c r="L60" i="2"/>
  <c r="K59" i="2"/>
  <c r="L59" i="2"/>
  <c r="K58" i="2"/>
  <c r="L58" i="2"/>
  <c r="K57" i="2"/>
  <c r="L57" i="2"/>
  <c r="K56" i="2"/>
  <c r="L56" i="2"/>
  <c r="K55" i="2"/>
  <c r="L55" i="2"/>
  <c r="L54" i="2"/>
  <c r="L53" i="2"/>
  <c r="K52" i="2"/>
  <c r="L52" i="2"/>
  <c r="L51" i="2"/>
  <c r="K50" i="2"/>
  <c r="L50" i="2"/>
  <c r="L49" i="2"/>
  <c r="K48" i="2"/>
  <c r="L48" i="2"/>
  <c r="K47" i="2"/>
  <c r="L47" i="2"/>
  <c r="K46" i="2"/>
  <c r="L46" i="2"/>
  <c r="K45" i="2"/>
  <c r="L45" i="2"/>
  <c r="L44" i="2"/>
  <c r="K43" i="2"/>
  <c r="L43" i="2"/>
  <c r="K42" i="2"/>
  <c r="L42" i="2"/>
  <c r="K41" i="2"/>
  <c r="L41" i="2"/>
  <c r="K40" i="2"/>
  <c r="L40" i="2"/>
  <c r="K39" i="2"/>
  <c r="L39" i="2"/>
  <c r="L38" i="2"/>
  <c r="K37" i="2"/>
  <c r="L37" i="2"/>
  <c r="K36" i="2"/>
  <c r="L36" i="2"/>
  <c r="L35" i="2"/>
  <c r="K34" i="2"/>
  <c r="L34" i="2"/>
  <c r="K33" i="2"/>
  <c r="L33" i="2"/>
  <c r="K32" i="2"/>
  <c r="L32" i="2"/>
  <c r="K31" i="2"/>
  <c r="L31" i="2"/>
  <c r="K30" i="2"/>
  <c r="L30" i="2"/>
  <c r="K29" i="2"/>
  <c r="L29" i="2"/>
  <c r="K28" i="2"/>
  <c r="L28" i="2"/>
  <c r="K27" i="2"/>
  <c r="L27" i="2"/>
  <c r="K26" i="2"/>
  <c r="L26" i="2"/>
  <c r="K25" i="2"/>
  <c r="L25" i="2"/>
  <c r="K24" i="2"/>
  <c r="L24" i="2"/>
  <c r="K23" i="2"/>
  <c r="L23" i="2"/>
  <c r="K22" i="2"/>
  <c r="L22" i="2"/>
  <c r="K21" i="2"/>
  <c r="L21" i="2"/>
  <c r="K20" i="2"/>
  <c r="L20" i="2"/>
  <c r="L19" i="2"/>
  <c r="K18" i="2"/>
  <c r="L18" i="2"/>
  <c r="K17" i="2"/>
  <c r="L17" i="2"/>
  <c r="L16" i="2"/>
  <c r="K15" i="2"/>
  <c r="L15" i="2"/>
  <c r="K14" i="2"/>
  <c r="L14" i="2"/>
  <c r="K13" i="2"/>
  <c r="L13" i="2"/>
  <c r="K12" i="2"/>
  <c r="L12" i="2"/>
  <c r="L11" i="2"/>
  <c r="K10" i="2"/>
  <c r="L10" i="2"/>
  <c r="K9" i="2"/>
  <c r="L9" i="2"/>
  <c r="K8" i="2"/>
  <c r="L8" i="2"/>
  <c r="K7" i="2"/>
  <c r="L7" i="2"/>
  <c r="K6" i="2"/>
  <c r="L6" i="2"/>
  <c r="K5" i="2"/>
  <c r="L5" i="2"/>
  <c r="K4" i="2"/>
  <c r="L4" i="2"/>
</calcChain>
</file>

<file path=xl/sharedStrings.xml><?xml version="1.0" encoding="utf-8"?>
<sst xmlns="http://schemas.openxmlformats.org/spreadsheetml/2006/main" count="30" uniqueCount="9">
  <si>
    <t>Реестр показаний кВт по участкам в 2019г.</t>
  </si>
  <si>
    <t>Предыдущее показание э/сч</t>
  </si>
  <si>
    <t>Новое показание  э/сч</t>
  </si>
  <si>
    <t>кол-во кВт</t>
  </si>
  <si>
    <t>начислено</t>
  </si>
  <si>
    <t>оплачено</t>
  </si>
  <si>
    <t xml:space="preserve">сальдо на 25.02.19 </t>
  </si>
  <si>
    <t>№ уч-ка</t>
  </si>
  <si>
    <t>5667.87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</si>
</sst>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[$-419]General"/>
  </numFmts>
  <fonts count="10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9"/>
      <name val="Arial Cyr"/>
      <charset val="204"/>
    </font>
    <font>
      <b/>
      <sz val="10"/>
      <name val="Arial Cyr"/>
      <charset val="204"/>
    </font>
    <font>
      <b/>
      <sz val="10"/>
      <color indexed="8"/>
      <name val="Arial Cyr"/>
      <charset val="204"/>
    </font>
    <font>
      <sz val="11"/>
      <color rgb="FF000000"/>
      <name val="Calibri"/>
      <family val="2"/>
      <charset val="204"/>
    </font>
    <font>
      <sz val="10"/>
      <color theme="1"/>
      <name val="Arial Cyr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165" fontId="7" fillId="0" borderId="0" applyBorder="0" applyProtection="0"/>
    <xf numFmtId="0" fontId="8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8">
    <xf numFmtId="0" fontId="0" fillId="0" borderId="0" xfId="0"/>
    <xf numFmtId="0" fontId="2" fillId="0" borderId="4" xfId="4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7" xfId="4" applyFont="1" applyFill="1" applyBorder="1" applyAlignment="1">
      <alignment horizontal="center"/>
    </xf>
    <xf numFmtId="0" fontId="6" fillId="0" borderId="8" xfId="4" applyFont="1" applyFill="1" applyBorder="1" applyAlignment="1">
      <alignment horizontal="center"/>
    </xf>
    <xf numFmtId="0" fontId="5" fillId="0" borderId="8" xfId="4" applyFont="1" applyFill="1" applyBorder="1" applyAlignment="1">
      <alignment horizontal="center"/>
    </xf>
    <xf numFmtId="0" fontId="3" fillId="0" borderId="3" xfId="4" applyFont="1" applyBorder="1" applyAlignment="1">
      <alignment horizontal="center" vertical="center" wrapText="1"/>
    </xf>
    <xf numFmtId="0" fontId="3" fillId="0" borderId="5" xfId="4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0" fillId="0" borderId="18" xfId="0" applyBorder="1"/>
    <xf numFmtId="0" fontId="0" fillId="0" borderId="6" xfId="0" applyBorder="1"/>
    <xf numFmtId="0" fontId="2" fillId="0" borderId="19" xfId="4" applyBorder="1"/>
    <xf numFmtId="0" fontId="2" fillId="2" borderId="7" xfId="4" applyFill="1" applyBorder="1"/>
    <xf numFmtId="2" fontId="2" fillId="0" borderId="20" xfId="4" applyNumberFormat="1" applyBorder="1"/>
    <xf numFmtId="0" fontId="2" fillId="2" borderId="8" xfId="4" applyFill="1" applyBorder="1"/>
    <xf numFmtId="0" fontId="2" fillId="3" borderId="8" xfId="4" applyFill="1" applyBorder="1"/>
    <xf numFmtId="0" fontId="2" fillId="4" borderId="7" xfId="4" applyFill="1" applyBorder="1"/>
    <xf numFmtId="0" fontId="2" fillId="4" borderId="8" xfId="4" applyFill="1" applyBorder="1"/>
    <xf numFmtId="0" fontId="2" fillId="3" borderId="7" xfId="4" applyFill="1" applyBorder="1"/>
    <xf numFmtId="0" fontId="2" fillId="4" borderId="8" xfId="4" applyFont="1" applyFill="1" applyBorder="1"/>
    <xf numFmtId="2" fontId="2" fillId="0" borderId="20" xfId="4" applyNumberFormat="1" applyFont="1" applyBorder="1"/>
    <xf numFmtId="0" fontId="2" fillId="2" borderId="21" xfId="4" applyFill="1" applyBorder="1"/>
    <xf numFmtId="0" fontId="2" fillId="4" borderId="19" xfId="4" applyFill="1" applyBorder="1"/>
    <xf numFmtId="2" fontId="9" fillId="0" borderId="20" xfId="4" applyNumberFormat="1" applyFont="1" applyBorder="1"/>
    <xf numFmtId="0" fontId="0" fillId="0" borderId="22" xfId="0" applyBorder="1"/>
    <xf numFmtId="0" fontId="0" fillId="0" borderId="8" xfId="0" applyBorder="1"/>
    <xf numFmtId="0" fontId="4" fillId="0" borderId="15" xfId="4" applyFont="1" applyBorder="1" applyAlignment="1">
      <alignment horizontal="center" vertical="center" wrapText="1"/>
    </xf>
    <xf numFmtId="0" fontId="2" fillId="0" borderId="9" xfId="4" applyBorder="1" applyAlignment="1"/>
    <xf numFmtId="0" fontId="2" fillId="0" borderId="16" xfId="4" applyBorder="1" applyAlignment="1"/>
    <xf numFmtId="17" fontId="5" fillId="0" borderId="12" xfId="4" applyNumberFormat="1" applyFont="1" applyBorder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0" fontId="5" fillId="0" borderId="13" xfId="4" applyFont="1" applyBorder="1" applyAlignment="1">
      <alignment horizontal="center" vertical="center"/>
    </xf>
    <xf numFmtId="0" fontId="2" fillId="0" borderId="14" xfId="4" applyBorder="1" applyAlignment="1"/>
    <xf numFmtId="0" fontId="2" fillId="0" borderId="10" xfId="4" applyBorder="1" applyAlignment="1"/>
    <xf numFmtId="0" fontId="2" fillId="0" borderId="17" xfId="4" applyBorder="1" applyAlignment="1"/>
    <xf numFmtId="0" fontId="0" fillId="0" borderId="0" xfId="0" applyAlignment="1">
      <alignment horizontal="right"/>
    </xf>
  </cellXfs>
  <cellStyles count="7">
    <cellStyle name="Excel Built-in Normal" xfId="1" xr:uid="{00000000-0005-0000-0000-000000000000}"/>
    <cellStyle name="Excel Built-in Normal 1" xfId="2" xr:uid="{00000000-0005-0000-0000-000001000000}"/>
    <cellStyle name="Обычный" xfId="0" builtinId="0"/>
    <cellStyle name="Обычный 2" xfId="3" xr:uid="{00000000-0005-0000-0000-000003000000}"/>
    <cellStyle name="Обычный_Буревестник_Сводная_2012" xfId="4" xr:uid="{00000000-0005-0000-0000-000004000000}"/>
    <cellStyle name="Финансовый 2" xfId="6" xr:uid="{00000000-0005-0000-0000-000005000000}"/>
    <cellStyle name="Финансовый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"/>
  <sheetViews>
    <sheetView tabSelected="1" workbookViewId="0" xr3:uid="{AEA406A1-0E4B-5B11-9CD5-51D6E497D94C}">
      <selection activeCell="D1" sqref="D1:I3"/>
    </sheetView>
  </sheetViews>
  <sheetFormatPr defaultRowHeight="15"/>
  <cols>
    <col min="2" max="2" width="0.28515625" customWidth="1"/>
    <col min="3" max="3" width="9.140625" hidden="1" customWidth="1"/>
    <col min="6" max="6" width="9.85546875" customWidth="1"/>
  </cols>
  <sheetData>
    <row r="1" spans="1:9" ht="28.5" customHeight="1">
      <c r="A1" s="28" t="s">
        <v>0</v>
      </c>
      <c r="B1" s="29"/>
      <c r="C1" s="30"/>
      <c r="D1" s="2" t="s">
        <v>1</v>
      </c>
      <c r="E1" s="3" t="s">
        <v>2</v>
      </c>
      <c r="F1" s="4" t="s">
        <v>3</v>
      </c>
      <c r="G1" s="9" t="s">
        <v>4</v>
      </c>
      <c r="H1" s="10" t="s">
        <v>5</v>
      </c>
      <c r="I1" s="8" t="s">
        <v>6</v>
      </c>
    </row>
    <row r="2" spans="1:9" ht="15.75" customHeight="1">
      <c r="A2" s="1" t="s">
        <v>7</v>
      </c>
      <c r="D2" s="31">
        <v>43580</v>
      </c>
      <c r="E2" s="32"/>
      <c r="F2" s="33"/>
      <c r="G2" s="31">
        <v>43580</v>
      </c>
      <c r="H2" s="32"/>
      <c r="I2" s="33"/>
    </row>
    <row r="3" spans="1:9" ht="15.75" customHeight="1">
      <c r="A3" s="5">
        <v>1</v>
      </c>
      <c r="D3">
        <v>0</v>
      </c>
      <c r="F3">
        <v>0</v>
      </c>
      <c r="G3">
        <v>0</v>
      </c>
      <c r="I3">
        <v>0</v>
      </c>
    </row>
    <row r="4" spans="1:9" ht="15.75" customHeight="1">
      <c r="A4" s="6">
        <v>2</v>
      </c>
      <c r="D4">
        <v>0</v>
      </c>
      <c r="F4">
        <v>0</v>
      </c>
      <c r="G4">
        <v>0</v>
      </c>
      <c r="I4">
        <v>0</v>
      </c>
    </row>
    <row r="5" spans="1:9" ht="15.75" customHeight="1">
      <c r="A5" s="6">
        <v>3</v>
      </c>
      <c r="D5">
        <v>0</v>
      </c>
      <c r="F5">
        <v>0</v>
      </c>
      <c r="G5">
        <v>0</v>
      </c>
      <c r="I5">
        <v>0</v>
      </c>
    </row>
    <row r="6" spans="1:9" ht="15.75" customHeight="1">
      <c r="A6" s="6">
        <v>4</v>
      </c>
      <c r="D6">
        <v>0</v>
      </c>
      <c r="F6">
        <v>0</v>
      </c>
      <c r="G6">
        <v>0</v>
      </c>
      <c r="I6">
        <v>0</v>
      </c>
    </row>
    <row r="7" spans="1:9" ht="15.75" customHeight="1">
      <c r="A7" s="6">
        <v>5</v>
      </c>
      <c r="D7">
        <v>0</v>
      </c>
      <c r="F7">
        <v>0</v>
      </c>
      <c r="G7">
        <v>0</v>
      </c>
      <c r="I7">
        <v>0</v>
      </c>
    </row>
    <row r="8" spans="1:9" ht="15.75" customHeight="1">
      <c r="A8" s="6">
        <v>6</v>
      </c>
      <c r="D8">
        <v>973</v>
      </c>
      <c r="E8">
        <v>973</v>
      </c>
      <c r="F8">
        <v>0</v>
      </c>
      <c r="G8">
        <v>0</v>
      </c>
      <c r="I8">
        <v>-19</v>
      </c>
    </row>
    <row r="9" spans="1:9" ht="15.75" customHeight="1">
      <c r="A9" s="6">
        <v>7</v>
      </c>
      <c r="D9">
        <v>0</v>
      </c>
      <c r="F9">
        <v>0</v>
      </c>
      <c r="G9">
        <v>0</v>
      </c>
      <c r="I9">
        <v>0</v>
      </c>
    </row>
    <row r="10" spans="1:9" ht="15.75" customHeight="1">
      <c r="A10" s="6">
        <v>8</v>
      </c>
      <c r="D10">
        <v>1669</v>
      </c>
      <c r="E10">
        <v>1694</v>
      </c>
      <c r="F10">
        <v>25</v>
      </c>
      <c r="G10">
        <v>52</v>
      </c>
      <c r="I10">
        <v>1742.12</v>
      </c>
    </row>
    <row r="11" spans="1:9" ht="15.75" customHeight="1">
      <c r="A11" s="6">
        <v>9</v>
      </c>
      <c r="D11">
        <v>0</v>
      </c>
      <c r="F11">
        <v>0</v>
      </c>
      <c r="G11">
        <v>0</v>
      </c>
      <c r="I11">
        <v>0</v>
      </c>
    </row>
    <row r="12" spans="1:9" ht="15.75" customHeight="1">
      <c r="A12" s="6">
        <v>10</v>
      </c>
      <c r="D12">
        <v>0</v>
      </c>
      <c r="F12">
        <v>0</v>
      </c>
      <c r="G12">
        <v>0</v>
      </c>
      <c r="I12">
        <v>0</v>
      </c>
    </row>
    <row r="13" spans="1:9" ht="15.75" customHeight="1">
      <c r="A13" s="6">
        <v>11</v>
      </c>
      <c r="D13">
        <v>0</v>
      </c>
      <c r="F13">
        <v>0</v>
      </c>
      <c r="G13">
        <v>0</v>
      </c>
      <c r="I13">
        <v>0</v>
      </c>
    </row>
    <row r="14" spans="1:9" ht="15.75" customHeight="1">
      <c r="A14" s="6">
        <v>12</v>
      </c>
      <c r="D14">
        <v>0</v>
      </c>
      <c r="F14">
        <v>0</v>
      </c>
      <c r="G14">
        <v>0</v>
      </c>
      <c r="I14">
        <v>0</v>
      </c>
    </row>
    <row r="15" spans="1:9" ht="15.75" customHeight="1">
      <c r="A15" s="6">
        <v>13</v>
      </c>
      <c r="D15">
        <v>435</v>
      </c>
      <c r="E15">
        <v>614</v>
      </c>
      <c r="F15">
        <v>179</v>
      </c>
      <c r="G15">
        <v>372.32</v>
      </c>
      <c r="I15">
        <v>2178.04</v>
      </c>
    </row>
    <row r="16" spans="1:9" ht="15.75" customHeight="1">
      <c r="A16" s="6">
        <v>14</v>
      </c>
      <c r="D16">
        <v>0</v>
      </c>
      <c r="F16">
        <v>0</v>
      </c>
      <c r="G16">
        <v>0</v>
      </c>
      <c r="I16">
        <v>0</v>
      </c>
    </row>
    <row r="17" spans="1:9" ht="15.75" customHeight="1">
      <c r="A17" s="6">
        <v>15</v>
      </c>
      <c r="D17">
        <v>0</v>
      </c>
      <c r="F17">
        <v>0</v>
      </c>
      <c r="G17">
        <v>0</v>
      </c>
      <c r="I17">
        <v>0</v>
      </c>
    </row>
    <row r="18" spans="1:9" ht="15.75" customHeight="1">
      <c r="A18" s="7">
        <v>16</v>
      </c>
      <c r="D18">
        <v>81775</v>
      </c>
      <c r="E18">
        <v>82047</v>
      </c>
      <c r="F18">
        <v>272</v>
      </c>
      <c r="G18">
        <v>565.76</v>
      </c>
      <c r="I18">
        <v>727.1</v>
      </c>
    </row>
    <row r="19" spans="1:9" ht="15.75" customHeight="1">
      <c r="A19" s="6">
        <v>17</v>
      </c>
      <c r="D19">
        <v>3936</v>
      </c>
      <c r="E19">
        <v>3936</v>
      </c>
      <c r="F19">
        <v>0</v>
      </c>
      <c r="G19">
        <v>0</v>
      </c>
      <c r="I19">
        <v>-7.65</v>
      </c>
    </row>
    <row r="20" spans="1:9" ht="15.75" customHeight="1">
      <c r="A20" s="6">
        <v>18</v>
      </c>
      <c r="D20">
        <v>0</v>
      </c>
      <c r="F20">
        <v>0</v>
      </c>
      <c r="G20">
        <v>0</v>
      </c>
      <c r="I20">
        <v>0</v>
      </c>
    </row>
    <row r="21" spans="1:9" ht="15.75" customHeight="1">
      <c r="A21" s="6">
        <v>19</v>
      </c>
      <c r="D21">
        <v>0</v>
      </c>
      <c r="F21">
        <v>0</v>
      </c>
      <c r="G21">
        <v>0</v>
      </c>
      <c r="I21">
        <v>0</v>
      </c>
    </row>
    <row r="22" spans="1:9" ht="15.75" customHeight="1">
      <c r="A22" s="6">
        <v>20</v>
      </c>
      <c r="D22">
        <v>905</v>
      </c>
      <c r="E22">
        <v>905</v>
      </c>
      <c r="F22">
        <v>0</v>
      </c>
      <c r="G22">
        <v>0</v>
      </c>
      <c r="I22">
        <v>787.7</v>
      </c>
    </row>
    <row r="23" spans="1:9" ht="15.75" customHeight="1">
      <c r="A23" s="6">
        <v>21</v>
      </c>
      <c r="D23">
        <v>0</v>
      </c>
      <c r="F23">
        <v>0</v>
      </c>
      <c r="G23">
        <v>0</v>
      </c>
      <c r="I23">
        <v>-27</v>
      </c>
    </row>
    <row r="24" spans="1:9" ht="15.75" customHeight="1">
      <c r="A24" s="6">
        <v>22</v>
      </c>
      <c r="D24">
        <v>0</v>
      </c>
      <c r="F24">
        <v>0</v>
      </c>
      <c r="G24">
        <v>0</v>
      </c>
      <c r="I24">
        <v>0</v>
      </c>
    </row>
    <row r="25" spans="1:9" ht="15.75" customHeight="1">
      <c r="A25" s="6">
        <v>23</v>
      </c>
      <c r="D25">
        <v>258</v>
      </c>
      <c r="E25">
        <v>258</v>
      </c>
      <c r="F25">
        <v>0</v>
      </c>
      <c r="G25">
        <v>0</v>
      </c>
      <c r="I25">
        <v>497.94</v>
      </c>
    </row>
    <row r="26" spans="1:9" ht="15.75" customHeight="1">
      <c r="A26" s="6">
        <v>24</v>
      </c>
      <c r="D26">
        <v>0</v>
      </c>
      <c r="F26">
        <v>0</v>
      </c>
      <c r="G26">
        <v>0</v>
      </c>
      <c r="I26">
        <v>0</v>
      </c>
    </row>
    <row r="27" spans="1:9" ht="15.75" customHeight="1">
      <c r="A27" s="6">
        <v>25</v>
      </c>
      <c r="D27">
        <v>0</v>
      </c>
      <c r="F27">
        <v>0</v>
      </c>
      <c r="G27">
        <v>0</v>
      </c>
      <c r="I27">
        <v>0</v>
      </c>
    </row>
    <row r="28" spans="1:9" ht="15.75" customHeight="1">
      <c r="A28" s="6">
        <v>26</v>
      </c>
      <c r="D28">
        <v>0</v>
      </c>
      <c r="F28">
        <v>0</v>
      </c>
      <c r="G28">
        <v>0</v>
      </c>
      <c r="I28">
        <v>0</v>
      </c>
    </row>
    <row r="29" spans="1:9" ht="15.75" customHeight="1">
      <c r="A29" s="6">
        <v>27</v>
      </c>
      <c r="D29">
        <v>0</v>
      </c>
      <c r="F29">
        <v>0</v>
      </c>
      <c r="G29">
        <v>0</v>
      </c>
      <c r="I29">
        <v>0</v>
      </c>
    </row>
    <row r="30" spans="1:9" ht="15.75" customHeight="1">
      <c r="A30" s="6">
        <v>28</v>
      </c>
      <c r="D30">
        <v>0</v>
      </c>
      <c r="F30">
        <v>0</v>
      </c>
      <c r="G30">
        <v>0</v>
      </c>
      <c r="I30">
        <v>0</v>
      </c>
    </row>
    <row r="31" spans="1:9" ht="15.75" customHeight="1">
      <c r="A31" s="6">
        <v>29</v>
      </c>
      <c r="D31">
        <v>0</v>
      </c>
      <c r="F31">
        <v>0</v>
      </c>
      <c r="G31">
        <v>0</v>
      </c>
      <c r="I31">
        <v>0</v>
      </c>
    </row>
    <row r="32" spans="1:9" ht="15.75" customHeight="1">
      <c r="A32" s="6">
        <v>30</v>
      </c>
      <c r="D32">
        <v>0</v>
      </c>
      <c r="F32">
        <v>0</v>
      </c>
      <c r="G32">
        <v>0</v>
      </c>
      <c r="I32">
        <v>0</v>
      </c>
    </row>
    <row r="33" spans="1:9" ht="15.75" customHeight="1">
      <c r="A33" s="6">
        <v>31</v>
      </c>
      <c r="D33">
        <v>63</v>
      </c>
      <c r="E33">
        <v>63</v>
      </c>
      <c r="F33">
        <v>0</v>
      </c>
      <c r="G33">
        <v>0</v>
      </c>
      <c r="I33">
        <v>670.17</v>
      </c>
    </row>
    <row r="34" spans="1:9" ht="15.75" customHeight="1">
      <c r="A34" s="6">
        <v>32</v>
      </c>
      <c r="D34">
        <v>2769</v>
      </c>
      <c r="E34">
        <v>3003</v>
      </c>
      <c r="F34">
        <v>234</v>
      </c>
      <c r="G34">
        <v>486.72</v>
      </c>
      <c r="I34">
        <v>5204.9399999999996</v>
      </c>
    </row>
    <row r="35" spans="1:9" ht="15.75" customHeight="1">
      <c r="A35" s="6">
        <v>33</v>
      </c>
      <c r="D35">
        <v>645</v>
      </c>
      <c r="E35">
        <v>646</v>
      </c>
      <c r="F35">
        <v>1</v>
      </c>
      <c r="G35">
        <v>2.08</v>
      </c>
      <c r="I35">
        <v>-176.07</v>
      </c>
    </row>
    <row r="36" spans="1:9" ht="15.75" customHeight="1">
      <c r="A36" s="7">
        <v>34</v>
      </c>
      <c r="D36">
        <v>0</v>
      </c>
      <c r="F36">
        <v>0</v>
      </c>
      <c r="G36">
        <v>0</v>
      </c>
      <c r="I36">
        <v>0</v>
      </c>
    </row>
    <row r="37" spans="1:9" ht="15.75" customHeight="1">
      <c r="A37" s="6">
        <v>35</v>
      </c>
      <c r="D37">
        <v>3170</v>
      </c>
      <c r="E37">
        <v>3297</v>
      </c>
      <c r="F37">
        <v>127</v>
      </c>
      <c r="G37">
        <v>264.16000000000003</v>
      </c>
      <c r="I37">
        <v>807.28</v>
      </c>
    </row>
    <row r="38" spans="1:9" ht="15.75" customHeight="1">
      <c r="A38" s="6">
        <v>36</v>
      </c>
      <c r="D38">
        <v>0</v>
      </c>
      <c r="F38">
        <v>0</v>
      </c>
      <c r="G38">
        <v>0</v>
      </c>
      <c r="I38">
        <v>0</v>
      </c>
    </row>
    <row r="39" spans="1:9" ht="15.75" customHeight="1">
      <c r="A39" s="6">
        <v>37</v>
      </c>
      <c r="D39">
        <v>0</v>
      </c>
      <c r="F39">
        <v>0</v>
      </c>
      <c r="G39">
        <v>0</v>
      </c>
      <c r="I39">
        <v>0</v>
      </c>
    </row>
    <row r="40" spans="1:9" ht="15.75" customHeight="1">
      <c r="A40" s="6">
        <v>38</v>
      </c>
      <c r="D40">
        <v>9</v>
      </c>
      <c r="E40">
        <v>9</v>
      </c>
      <c r="F40">
        <v>0</v>
      </c>
      <c r="G40">
        <v>0</v>
      </c>
      <c r="I40">
        <v>18.72</v>
      </c>
    </row>
    <row r="41" spans="1:9" ht="15.75" customHeight="1">
      <c r="A41" s="6">
        <v>39</v>
      </c>
      <c r="D41">
        <v>42</v>
      </c>
      <c r="E41">
        <v>42</v>
      </c>
      <c r="F41">
        <v>0</v>
      </c>
      <c r="G41">
        <v>0</v>
      </c>
      <c r="I41">
        <v>82.11</v>
      </c>
    </row>
    <row r="42" spans="1:9" ht="15.75" customHeight="1">
      <c r="A42" s="6">
        <v>40</v>
      </c>
      <c r="D42">
        <v>0</v>
      </c>
      <c r="F42">
        <v>0</v>
      </c>
      <c r="G42">
        <v>0</v>
      </c>
      <c r="I42">
        <v>0</v>
      </c>
    </row>
    <row r="43" spans="1:9" ht="15.75" customHeight="1">
      <c r="A43" s="6">
        <v>41</v>
      </c>
      <c r="D43">
        <v>65920</v>
      </c>
      <c r="E43">
        <v>67138</v>
      </c>
      <c r="F43">
        <v>1218</v>
      </c>
      <c r="G43">
        <v>2533.44</v>
      </c>
      <c r="I43">
        <v>4105.54</v>
      </c>
    </row>
    <row r="44" spans="1:9" ht="15.75" customHeight="1">
      <c r="A44" s="6">
        <v>42</v>
      </c>
      <c r="D44">
        <v>0</v>
      </c>
      <c r="F44">
        <v>0</v>
      </c>
      <c r="G44">
        <v>0</v>
      </c>
      <c r="I44">
        <v>0</v>
      </c>
    </row>
    <row r="45" spans="1:9" ht="15.75" customHeight="1">
      <c r="A45" s="6">
        <v>43</v>
      </c>
      <c r="D45">
        <v>0</v>
      </c>
      <c r="F45">
        <v>0</v>
      </c>
      <c r="G45">
        <v>0</v>
      </c>
      <c r="I45">
        <v>0</v>
      </c>
    </row>
    <row r="46" spans="1:9" ht="15.75" customHeight="1">
      <c r="A46" s="6">
        <v>44</v>
      </c>
      <c r="D46">
        <v>0</v>
      </c>
      <c r="F46">
        <v>0</v>
      </c>
      <c r="G46">
        <v>0</v>
      </c>
      <c r="I46">
        <v>0</v>
      </c>
    </row>
    <row r="47" spans="1:9" ht="15.75" customHeight="1">
      <c r="A47" s="6">
        <v>45</v>
      </c>
      <c r="D47">
        <v>0</v>
      </c>
      <c r="F47">
        <v>0</v>
      </c>
      <c r="G47">
        <v>0</v>
      </c>
      <c r="I47">
        <v>0</v>
      </c>
    </row>
    <row r="48" spans="1:9" ht="15.75" customHeight="1">
      <c r="A48" s="6">
        <v>46</v>
      </c>
      <c r="D48">
        <v>18489</v>
      </c>
      <c r="E48">
        <v>18678</v>
      </c>
      <c r="F48">
        <v>189</v>
      </c>
      <c r="G48">
        <v>393.12</v>
      </c>
      <c r="I48">
        <v>-3300.49</v>
      </c>
    </row>
    <row r="49" spans="1:9" ht="15.75" customHeight="1">
      <c r="A49" s="6">
        <v>47</v>
      </c>
      <c r="D49">
        <v>4581</v>
      </c>
      <c r="E49">
        <v>4581</v>
      </c>
      <c r="F49">
        <v>0</v>
      </c>
      <c r="G49">
        <v>0</v>
      </c>
      <c r="I49">
        <v>-586.22</v>
      </c>
    </row>
    <row r="50" spans="1:9" ht="15.75" customHeight="1">
      <c r="A50" s="6">
        <v>48</v>
      </c>
      <c r="D50">
        <v>8489</v>
      </c>
      <c r="E50">
        <v>8576</v>
      </c>
      <c r="F50">
        <v>87</v>
      </c>
      <c r="G50">
        <v>180.96</v>
      </c>
      <c r="I50">
        <v>893.61</v>
      </c>
    </row>
    <row r="51" spans="1:9" ht="15.75" customHeight="1">
      <c r="A51" s="6">
        <v>49</v>
      </c>
      <c r="D51">
        <v>0</v>
      </c>
      <c r="F51">
        <v>0</v>
      </c>
      <c r="G51">
        <v>0</v>
      </c>
      <c r="I51">
        <v>0</v>
      </c>
    </row>
    <row r="52" spans="1:9" ht="15.75" customHeight="1">
      <c r="A52" s="6">
        <v>50</v>
      </c>
      <c r="D52">
        <v>18717</v>
      </c>
      <c r="E52">
        <v>19008</v>
      </c>
      <c r="F52">
        <v>291</v>
      </c>
      <c r="G52">
        <v>605.28</v>
      </c>
      <c r="H52">
        <v>549.12</v>
      </c>
      <c r="I52">
        <v>-56.16</v>
      </c>
    </row>
    <row r="53" spans="1:9" ht="15.75" customHeight="1">
      <c r="A53" s="6">
        <v>51</v>
      </c>
      <c r="D53">
        <v>56018</v>
      </c>
      <c r="E53">
        <v>57501</v>
      </c>
      <c r="F53">
        <v>1483</v>
      </c>
      <c r="G53">
        <v>3084.64</v>
      </c>
      <c r="I53">
        <v>14880.28</v>
      </c>
    </row>
    <row r="54" spans="1:9" ht="15.75" customHeight="1">
      <c r="A54" s="6">
        <v>52</v>
      </c>
      <c r="D54">
        <v>0</v>
      </c>
      <c r="F54">
        <v>0</v>
      </c>
      <c r="G54">
        <v>0</v>
      </c>
      <c r="I54">
        <v>0</v>
      </c>
    </row>
    <row r="55" spans="1:9" ht="15.75" customHeight="1">
      <c r="A55" s="6">
        <v>53</v>
      </c>
      <c r="D55">
        <v>0</v>
      </c>
      <c r="F55">
        <v>0</v>
      </c>
      <c r="G55">
        <v>0</v>
      </c>
      <c r="I55">
        <v>0</v>
      </c>
    </row>
    <row r="56" spans="1:9" ht="15.75" customHeight="1">
      <c r="A56" s="6">
        <v>54</v>
      </c>
      <c r="D56">
        <v>0</v>
      </c>
      <c r="F56">
        <v>0</v>
      </c>
      <c r="G56">
        <v>0</v>
      </c>
      <c r="I56">
        <v>0</v>
      </c>
    </row>
    <row r="57" spans="1:9" ht="15.75" customHeight="1">
      <c r="A57" s="6">
        <v>55</v>
      </c>
      <c r="D57">
        <v>0</v>
      </c>
      <c r="F57">
        <v>0</v>
      </c>
      <c r="G57">
        <v>0</v>
      </c>
      <c r="I57">
        <v>0</v>
      </c>
    </row>
    <row r="58" spans="1:9" ht="15.75" customHeight="1">
      <c r="A58" s="6">
        <v>56</v>
      </c>
      <c r="D58">
        <v>0</v>
      </c>
      <c r="F58">
        <v>0</v>
      </c>
      <c r="G58">
        <v>0</v>
      </c>
      <c r="I58">
        <v>0</v>
      </c>
    </row>
    <row r="59" spans="1:9" ht="15.75" customHeight="1">
      <c r="A59" s="6">
        <v>57</v>
      </c>
      <c r="D59">
        <v>0</v>
      </c>
      <c r="F59">
        <v>0</v>
      </c>
      <c r="G59">
        <v>0</v>
      </c>
      <c r="I59">
        <v>0</v>
      </c>
    </row>
    <row r="60" spans="1:9" ht="15.75" customHeight="1">
      <c r="A60" s="6">
        <v>58</v>
      </c>
      <c r="D60">
        <v>2996</v>
      </c>
      <c r="E60">
        <v>3238</v>
      </c>
      <c r="F60">
        <v>242</v>
      </c>
      <c r="G60">
        <v>503.36</v>
      </c>
      <c r="H60">
        <v>3100</v>
      </c>
      <c r="I60">
        <v>-2160.9499999999998</v>
      </c>
    </row>
    <row r="61" spans="1:9" ht="15.75" customHeight="1">
      <c r="A61" s="5">
        <v>59</v>
      </c>
      <c r="D61">
        <v>0</v>
      </c>
      <c r="F61">
        <v>0</v>
      </c>
      <c r="G61">
        <v>0</v>
      </c>
      <c r="I61">
        <v>0</v>
      </c>
    </row>
    <row r="62" spans="1:9" ht="15.75" customHeight="1">
      <c r="A62" s="6">
        <v>60</v>
      </c>
      <c r="D62">
        <v>39640</v>
      </c>
      <c r="E62">
        <v>40263</v>
      </c>
      <c r="F62">
        <v>623</v>
      </c>
      <c r="G62">
        <v>1295.8399999999999</v>
      </c>
      <c r="I62">
        <v>19740.900000000001</v>
      </c>
    </row>
    <row r="63" spans="1:9" ht="15.75" customHeight="1">
      <c r="A63" s="6">
        <v>61</v>
      </c>
      <c r="D63">
        <v>98</v>
      </c>
      <c r="E63">
        <v>144</v>
      </c>
      <c r="F63">
        <v>46</v>
      </c>
      <c r="G63">
        <v>95.68</v>
      </c>
      <c r="I63">
        <v>96.94</v>
      </c>
    </row>
    <row r="64" spans="1:9" ht="15.75" customHeight="1">
      <c r="A64" s="6">
        <v>62</v>
      </c>
      <c r="D64">
        <v>19452</v>
      </c>
      <c r="E64">
        <v>19612</v>
      </c>
      <c r="F64">
        <v>160</v>
      </c>
      <c r="G64">
        <v>332.8</v>
      </c>
      <c r="I64">
        <v>713.62</v>
      </c>
    </row>
    <row r="65" spans="1:9" ht="15.75" customHeight="1">
      <c r="A65" s="6">
        <v>63</v>
      </c>
      <c r="D65">
        <v>49231</v>
      </c>
      <c r="E65">
        <v>49691</v>
      </c>
      <c r="F65">
        <v>460</v>
      </c>
      <c r="G65">
        <v>956.8</v>
      </c>
      <c r="I65">
        <v>5578.21</v>
      </c>
    </row>
    <row r="66" spans="1:9" ht="15.75" customHeight="1">
      <c r="A66" s="6">
        <v>64</v>
      </c>
      <c r="D66">
        <v>229</v>
      </c>
      <c r="E66">
        <v>278</v>
      </c>
      <c r="F66">
        <v>49</v>
      </c>
      <c r="G66">
        <v>101.92</v>
      </c>
      <c r="H66">
        <v>500</v>
      </c>
      <c r="I66">
        <v>73.08</v>
      </c>
    </row>
    <row r="67" spans="1:9" ht="15.75" customHeight="1">
      <c r="A67" s="6">
        <v>65</v>
      </c>
      <c r="D67">
        <v>26158</v>
      </c>
      <c r="E67">
        <v>26492</v>
      </c>
      <c r="F67">
        <v>334</v>
      </c>
      <c r="G67">
        <v>694.72</v>
      </c>
      <c r="H67">
        <v>534.55999999999995</v>
      </c>
      <c r="I67">
        <v>-133.72</v>
      </c>
    </row>
    <row r="68" spans="1:9" ht="15.75" customHeight="1">
      <c r="A68" s="6">
        <v>66</v>
      </c>
      <c r="D68">
        <v>0</v>
      </c>
      <c r="F68">
        <v>0</v>
      </c>
      <c r="G68">
        <v>0</v>
      </c>
      <c r="I68">
        <v>0</v>
      </c>
    </row>
    <row r="69" spans="1:9" ht="15.75" customHeight="1">
      <c r="A69" s="6">
        <v>67</v>
      </c>
      <c r="D69">
        <v>0</v>
      </c>
      <c r="F69">
        <v>0</v>
      </c>
      <c r="G69">
        <v>0</v>
      </c>
      <c r="I69">
        <v>0</v>
      </c>
    </row>
    <row r="70" spans="1:9" ht="15.75" customHeight="1">
      <c r="A70" s="6">
        <v>68</v>
      </c>
      <c r="D70">
        <v>0</v>
      </c>
      <c r="F70">
        <v>0</v>
      </c>
      <c r="G70">
        <v>0</v>
      </c>
      <c r="I70">
        <v>0</v>
      </c>
    </row>
    <row r="71" spans="1:9" ht="15.75" customHeight="1">
      <c r="A71" s="6">
        <v>69</v>
      </c>
      <c r="D71">
        <v>1976</v>
      </c>
      <c r="E71">
        <v>2132</v>
      </c>
      <c r="F71">
        <v>156</v>
      </c>
      <c r="G71">
        <v>324.48</v>
      </c>
      <c r="H71">
        <v>1248</v>
      </c>
      <c r="I71">
        <v>0.24</v>
      </c>
    </row>
    <row r="72" spans="1:9" ht="15.75" customHeight="1">
      <c r="A72" s="6">
        <v>70</v>
      </c>
      <c r="D72">
        <v>0</v>
      </c>
      <c r="F72">
        <v>0</v>
      </c>
      <c r="G72">
        <v>0</v>
      </c>
      <c r="I72">
        <v>0</v>
      </c>
    </row>
    <row r="73" spans="1:9" ht="15.75" customHeight="1">
      <c r="A73" s="6">
        <v>71</v>
      </c>
      <c r="D73">
        <v>7000</v>
      </c>
      <c r="E73">
        <v>7000</v>
      </c>
      <c r="F73">
        <v>0</v>
      </c>
      <c r="G73">
        <v>0</v>
      </c>
      <c r="I73">
        <v>1356.16</v>
      </c>
    </row>
    <row r="74" spans="1:9" ht="15.75" customHeight="1">
      <c r="A74" s="6">
        <v>72</v>
      </c>
      <c r="D74">
        <v>1881</v>
      </c>
      <c r="E74">
        <v>1997</v>
      </c>
      <c r="F74">
        <v>116</v>
      </c>
      <c r="G74">
        <v>241.28</v>
      </c>
      <c r="I74">
        <v>496.72</v>
      </c>
    </row>
    <row r="75" spans="1:9" ht="15.75" customHeight="1">
      <c r="A75" s="6">
        <v>73</v>
      </c>
      <c r="D75">
        <v>0</v>
      </c>
      <c r="F75">
        <v>0</v>
      </c>
      <c r="G75">
        <v>0</v>
      </c>
      <c r="I75">
        <v>0</v>
      </c>
    </row>
    <row r="76" spans="1:9" ht="15.75" customHeight="1">
      <c r="A76" s="7">
        <v>74</v>
      </c>
      <c r="D76">
        <v>0</v>
      </c>
      <c r="F76">
        <v>0</v>
      </c>
      <c r="G76">
        <v>0</v>
      </c>
      <c r="I76">
        <v>0</v>
      </c>
    </row>
    <row r="77" spans="1:9" ht="15.75" customHeight="1">
      <c r="A77" s="6">
        <v>75</v>
      </c>
      <c r="D77">
        <v>52164</v>
      </c>
      <c r="E77">
        <v>52179</v>
      </c>
      <c r="F77">
        <v>15</v>
      </c>
      <c r="G77">
        <v>31.2</v>
      </c>
      <c r="I77">
        <v>127.65</v>
      </c>
    </row>
    <row r="78" spans="1:9" ht="15.75" customHeight="1">
      <c r="A78" s="6">
        <v>76</v>
      </c>
      <c r="D78">
        <v>16015</v>
      </c>
      <c r="E78">
        <v>16349</v>
      </c>
      <c r="F78">
        <v>334</v>
      </c>
      <c r="G78">
        <v>694.72</v>
      </c>
      <c r="I78">
        <v>6688.93</v>
      </c>
    </row>
    <row r="79" spans="1:9" ht="15.75" customHeight="1">
      <c r="A79" s="6">
        <v>77</v>
      </c>
      <c r="D79">
        <v>0</v>
      </c>
      <c r="F79">
        <v>0</v>
      </c>
      <c r="G79">
        <v>0</v>
      </c>
      <c r="I79">
        <v>0</v>
      </c>
    </row>
    <row r="80" spans="1:9" ht="15.75" customHeight="1">
      <c r="A80" s="6">
        <v>78</v>
      </c>
      <c r="D80">
        <v>2473</v>
      </c>
      <c r="E80">
        <v>2473</v>
      </c>
      <c r="F80">
        <v>0</v>
      </c>
      <c r="G80">
        <v>0</v>
      </c>
      <c r="I80">
        <v>-263.5</v>
      </c>
    </row>
    <row r="81" spans="1:9" ht="15.75" customHeight="1">
      <c r="A81" s="6">
        <v>79</v>
      </c>
      <c r="D81">
        <v>22866</v>
      </c>
      <c r="E81">
        <v>23993</v>
      </c>
      <c r="F81">
        <v>1127</v>
      </c>
      <c r="G81">
        <v>2344.16</v>
      </c>
      <c r="I81">
        <v>4934.4399999999996</v>
      </c>
    </row>
    <row r="82" spans="1:9" ht="15.75" customHeight="1">
      <c r="A82" s="6">
        <v>80</v>
      </c>
      <c r="D82">
        <v>0</v>
      </c>
      <c r="F82">
        <v>0</v>
      </c>
      <c r="G82">
        <v>0</v>
      </c>
      <c r="I82">
        <v>0</v>
      </c>
    </row>
    <row r="83" spans="1:9" ht="15.75" customHeight="1">
      <c r="A83" s="6">
        <v>81</v>
      </c>
      <c r="D83">
        <v>70150</v>
      </c>
      <c r="E83">
        <v>72500</v>
      </c>
      <c r="F83">
        <v>2350</v>
      </c>
      <c r="G83">
        <v>4888</v>
      </c>
      <c r="I83">
        <v>8750.36</v>
      </c>
    </row>
    <row r="84" spans="1:9" ht="15.75" customHeight="1">
      <c r="A84" s="6">
        <v>82</v>
      </c>
      <c r="D84">
        <v>876</v>
      </c>
      <c r="E84">
        <v>876</v>
      </c>
      <c r="F84">
        <v>0</v>
      </c>
      <c r="G84">
        <v>0</v>
      </c>
      <c r="I84">
        <v>-7650.77</v>
      </c>
    </row>
    <row r="85" spans="1:9" ht="15.75" customHeight="1">
      <c r="A85" s="6">
        <v>83</v>
      </c>
      <c r="D85">
        <v>333</v>
      </c>
      <c r="E85">
        <v>333</v>
      </c>
      <c r="F85">
        <v>0</v>
      </c>
      <c r="G85">
        <v>0</v>
      </c>
      <c r="I85">
        <v>0</v>
      </c>
    </row>
    <row r="86" spans="1:9" ht="15.75" customHeight="1">
      <c r="A86" s="6">
        <v>84</v>
      </c>
      <c r="D86">
        <v>62606</v>
      </c>
      <c r="E86">
        <v>63015</v>
      </c>
      <c r="F86">
        <v>409</v>
      </c>
      <c r="G86">
        <v>850.72</v>
      </c>
      <c r="I86">
        <v>7110.77</v>
      </c>
    </row>
    <row r="87" spans="1:9" ht="15.75" customHeight="1">
      <c r="A87" s="6">
        <v>85</v>
      </c>
      <c r="D87">
        <v>10436</v>
      </c>
      <c r="E87">
        <v>10515</v>
      </c>
      <c r="F87">
        <v>79</v>
      </c>
      <c r="G87">
        <v>164.32</v>
      </c>
      <c r="I87">
        <v>271.77</v>
      </c>
    </row>
    <row r="88" spans="1:9" ht="15.75" customHeight="1">
      <c r="A88" s="6">
        <v>86</v>
      </c>
      <c r="D88">
        <v>51008</v>
      </c>
      <c r="E88">
        <v>51744</v>
      </c>
      <c r="F88">
        <v>736</v>
      </c>
      <c r="G88">
        <v>1530.88</v>
      </c>
      <c r="I88">
        <v>8259.26</v>
      </c>
    </row>
    <row r="89" spans="1:9" ht="15.75" customHeight="1">
      <c r="A89" s="6">
        <v>87</v>
      </c>
      <c r="D89">
        <v>154134</v>
      </c>
      <c r="E89">
        <v>157004</v>
      </c>
      <c r="F89">
        <v>2870</v>
      </c>
      <c r="G89">
        <v>5969.6</v>
      </c>
      <c r="H89">
        <v>10000</v>
      </c>
      <c r="I89">
        <v>12314.03</v>
      </c>
    </row>
    <row r="90" spans="1:9" ht="15.75" customHeight="1">
      <c r="A90" s="6">
        <v>88</v>
      </c>
      <c r="D90">
        <v>0</v>
      </c>
      <c r="F90">
        <v>0</v>
      </c>
      <c r="G90">
        <v>0</v>
      </c>
      <c r="I90">
        <v>0</v>
      </c>
    </row>
    <row r="91" spans="1:9" ht="15.75" customHeight="1">
      <c r="A91" s="6">
        <v>89</v>
      </c>
      <c r="D91">
        <v>0</v>
      </c>
      <c r="F91">
        <v>0</v>
      </c>
      <c r="G91">
        <v>0</v>
      </c>
      <c r="I91">
        <v>0</v>
      </c>
    </row>
    <row r="92" spans="1:9" ht="15.75" customHeight="1">
      <c r="A92" s="6">
        <v>90</v>
      </c>
      <c r="D92">
        <v>15980</v>
      </c>
      <c r="E92">
        <v>16555</v>
      </c>
      <c r="F92">
        <v>575</v>
      </c>
      <c r="G92">
        <v>1196</v>
      </c>
      <c r="H92">
        <v>5000</v>
      </c>
      <c r="I92">
        <v>-707.78</v>
      </c>
    </row>
    <row r="93" spans="1:9" ht="15.75" customHeight="1">
      <c r="A93" s="6">
        <v>91</v>
      </c>
      <c r="D93">
        <v>329</v>
      </c>
      <c r="E93">
        <v>329</v>
      </c>
      <c r="F93">
        <v>0</v>
      </c>
      <c r="G93">
        <v>0</v>
      </c>
      <c r="I93">
        <v>261.27999999999997</v>
      </c>
    </row>
    <row r="94" spans="1:9" ht="15.75" customHeight="1">
      <c r="A94" s="7">
        <v>92</v>
      </c>
      <c r="D94">
        <v>1309</v>
      </c>
      <c r="E94">
        <v>1309</v>
      </c>
      <c r="F94">
        <v>0</v>
      </c>
      <c r="G94">
        <v>0</v>
      </c>
      <c r="I94">
        <v>123.05</v>
      </c>
    </row>
    <row r="95" spans="1:9" ht="15.75" customHeight="1">
      <c r="A95" s="6">
        <v>93</v>
      </c>
      <c r="D95">
        <v>15811</v>
      </c>
      <c r="E95">
        <v>16155</v>
      </c>
      <c r="F95">
        <v>344</v>
      </c>
      <c r="G95">
        <v>715.52</v>
      </c>
      <c r="I95">
        <v>715</v>
      </c>
    </row>
    <row r="96" spans="1:9" ht="15.75" customHeight="1">
      <c r="A96" s="6">
        <v>94</v>
      </c>
      <c r="D96">
        <v>308</v>
      </c>
      <c r="E96">
        <v>308</v>
      </c>
      <c r="F96">
        <v>0</v>
      </c>
      <c r="G96">
        <v>0</v>
      </c>
      <c r="I96">
        <v>-31.64</v>
      </c>
    </row>
    <row r="97" spans="1:9" ht="15.75" customHeight="1">
      <c r="A97" s="6">
        <v>95</v>
      </c>
      <c r="D97">
        <v>0</v>
      </c>
      <c r="F97">
        <v>0</v>
      </c>
      <c r="G97">
        <v>0</v>
      </c>
      <c r="I97">
        <v>0</v>
      </c>
    </row>
    <row r="98" spans="1:9" ht="15.75" customHeight="1">
      <c r="A98" s="6">
        <v>96</v>
      </c>
      <c r="D98">
        <v>0</v>
      </c>
      <c r="F98">
        <v>0</v>
      </c>
      <c r="G98">
        <v>0</v>
      </c>
      <c r="I98">
        <v>0</v>
      </c>
    </row>
    <row r="99" spans="1:9" ht="15.75" customHeight="1">
      <c r="A99" s="6">
        <v>97</v>
      </c>
      <c r="D99">
        <v>0</v>
      </c>
      <c r="F99">
        <v>0</v>
      </c>
      <c r="G99">
        <v>0</v>
      </c>
      <c r="I99">
        <v>0</v>
      </c>
    </row>
    <row r="100" spans="1:9" ht="15.75" customHeight="1">
      <c r="A100" s="6">
        <v>98</v>
      </c>
      <c r="D100">
        <v>1137</v>
      </c>
      <c r="E100">
        <v>1164</v>
      </c>
      <c r="F100">
        <v>27</v>
      </c>
      <c r="G100">
        <v>56.16</v>
      </c>
      <c r="I100">
        <v>395.47</v>
      </c>
    </row>
    <row r="101" spans="1:9" ht="15.75" customHeight="1">
      <c r="A101" s="6">
        <v>99</v>
      </c>
      <c r="D101">
        <v>98</v>
      </c>
      <c r="E101">
        <v>98</v>
      </c>
      <c r="F101">
        <v>0</v>
      </c>
      <c r="G101">
        <v>0</v>
      </c>
      <c r="I101">
        <v>37.840000000000003</v>
      </c>
    </row>
    <row r="102" spans="1:9" ht="15.75" customHeight="1">
      <c r="A102" s="6">
        <v>100</v>
      </c>
      <c r="D102">
        <v>0</v>
      </c>
      <c r="F102">
        <v>0</v>
      </c>
      <c r="G102">
        <v>0</v>
      </c>
      <c r="I102">
        <v>0</v>
      </c>
    </row>
    <row r="103" spans="1:9" ht="15.75" customHeight="1">
      <c r="A103" s="6">
        <v>101</v>
      </c>
      <c r="D103">
        <v>73</v>
      </c>
      <c r="E103">
        <v>73</v>
      </c>
      <c r="F103">
        <v>0</v>
      </c>
      <c r="G103">
        <v>0</v>
      </c>
      <c r="I103">
        <v>146.80000000000001</v>
      </c>
    </row>
    <row r="104" spans="1:9" ht="15.75" customHeight="1">
      <c r="A104" s="6">
        <v>102</v>
      </c>
      <c r="D104">
        <v>26</v>
      </c>
      <c r="E104">
        <v>26</v>
      </c>
      <c r="F104">
        <v>0</v>
      </c>
      <c r="G104">
        <v>0</v>
      </c>
      <c r="I104">
        <v>-80.099999999999994</v>
      </c>
    </row>
    <row r="105" spans="1:9" ht="15.75" customHeight="1">
      <c r="A105" s="6">
        <v>103</v>
      </c>
      <c r="D105">
        <v>39812</v>
      </c>
      <c r="E105">
        <v>40258</v>
      </c>
      <c r="F105">
        <v>446</v>
      </c>
      <c r="G105">
        <v>927.68</v>
      </c>
      <c r="H105">
        <v>1393</v>
      </c>
      <c r="I105">
        <v>-0.27</v>
      </c>
    </row>
    <row r="106" spans="1:9" ht="15.75" customHeight="1">
      <c r="A106" s="6">
        <v>104</v>
      </c>
      <c r="D106">
        <v>164502</v>
      </c>
      <c r="E106">
        <v>166008</v>
      </c>
      <c r="F106">
        <v>1506</v>
      </c>
      <c r="G106">
        <v>3132.48</v>
      </c>
      <c r="H106">
        <v>0</v>
      </c>
      <c r="I106">
        <v>62426.59</v>
      </c>
    </row>
    <row r="107" spans="1:9" ht="15.75" customHeight="1">
      <c r="A107" s="6">
        <v>105</v>
      </c>
      <c r="D107">
        <v>985</v>
      </c>
      <c r="E107">
        <v>985</v>
      </c>
      <c r="F107">
        <v>0</v>
      </c>
      <c r="G107">
        <v>0</v>
      </c>
      <c r="I107">
        <v>-448</v>
      </c>
    </row>
    <row r="108" spans="1:9" ht="15.75" customHeight="1">
      <c r="A108" s="6">
        <v>106</v>
      </c>
      <c r="D108">
        <v>0</v>
      </c>
      <c r="F108">
        <v>0</v>
      </c>
      <c r="G108">
        <v>0</v>
      </c>
      <c r="I108">
        <v>0</v>
      </c>
    </row>
    <row r="109" spans="1:9" ht="15.75" customHeight="1">
      <c r="A109" s="6">
        <v>107</v>
      </c>
      <c r="D109">
        <v>0</v>
      </c>
      <c r="F109">
        <v>0</v>
      </c>
      <c r="G109">
        <v>0</v>
      </c>
      <c r="I109">
        <v>0</v>
      </c>
    </row>
    <row r="110" spans="1:9" ht="15.75" customHeight="1">
      <c r="A110" s="6">
        <v>108</v>
      </c>
      <c r="D110">
        <v>22</v>
      </c>
      <c r="E110">
        <v>22</v>
      </c>
      <c r="F110">
        <v>0</v>
      </c>
      <c r="G110">
        <v>0</v>
      </c>
      <c r="I110">
        <v>-160.46</v>
      </c>
    </row>
    <row r="111" spans="1:9" ht="15.75" customHeight="1">
      <c r="A111" s="6">
        <v>109</v>
      </c>
      <c r="D111">
        <v>2738</v>
      </c>
      <c r="E111">
        <v>2738</v>
      </c>
      <c r="F111">
        <v>0</v>
      </c>
      <c r="G111">
        <v>0</v>
      </c>
      <c r="I111">
        <v>-684.3</v>
      </c>
    </row>
    <row r="112" spans="1:9" ht="15.75" customHeight="1">
      <c r="A112" s="6">
        <v>110</v>
      </c>
      <c r="D112">
        <v>271</v>
      </c>
      <c r="E112">
        <v>271</v>
      </c>
      <c r="F112">
        <v>0</v>
      </c>
      <c r="G112">
        <v>0</v>
      </c>
      <c r="I112">
        <v>-1663.43</v>
      </c>
    </row>
    <row r="113" spans="1:9" ht="15.75" customHeight="1">
      <c r="A113" s="6">
        <v>111</v>
      </c>
      <c r="D113">
        <v>4367</v>
      </c>
      <c r="E113">
        <v>4563</v>
      </c>
      <c r="F113">
        <v>196</v>
      </c>
      <c r="G113">
        <v>407.68</v>
      </c>
      <c r="I113">
        <v>1054.1400000000001</v>
      </c>
    </row>
    <row r="114" spans="1:9" ht="15.75" customHeight="1">
      <c r="A114" s="6">
        <v>112</v>
      </c>
      <c r="D114">
        <v>2530</v>
      </c>
      <c r="E114">
        <v>2592</v>
      </c>
      <c r="F114">
        <v>62</v>
      </c>
      <c r="G114">
        <v>128.96</v>
      </c>
      <c r="I114">
        <v>5222.32</v>
      </c>
    </row>
    <row r="115" spans="1:9" ht="15.75" customHeight="1">
      <c r="A115" s="6">
        <v>113</v>
      </c>
      <c r="D115">
        <v>101</v>
      </c>
      <c r="E115">
        <v>101</v>
      </c>
      <c r="F115">
        <v>0</v>
      </c>
      <c r="G115">
        <v>0</v>
      </c>
      <c r="I115">
        <v>188.87</v>
      </c>
    </row>
    <row r="116" spans="1:9" ht="15.75" customHeight="1">
      <c r="A116" s="6">
        <v>114</v>
      </c>
      <c r="D116">
        <v>0</v>
      </c>
      <c r="F116">
        <v>0</v>
      </c>
      <c r="G116">
        <v>0</v>
      </c>
      <c r="I116">
        <v>0</v>
      </c>
    </row>
    <row r="117" spans="1:9" ht="15.75" customHeight="1">
      <c r="A117" s="6">
        <v>115</v>
      </c>
      <c r="D117">
        <v>6063</v>
      </c>
      <c r="E117">
        <v>6338</v>
      </c>
      <c r="F117">
        <v>275</v>
      </c>
      <c r="G117">
        <v>572</v>
      </c>
      <c r="H117">
        <v>2350</v>
      </c>
      <c r="I117">
        <v>547.76</v>
      </c>
    </row>
    <row r="118" spans="1:9" ht="15.75" customHeight="1">
      <c r="A118" s="6">
        <v>116</v>
      </c>
      <c r="D118">
        <v>12917</v>
      </c>
      <c r="E118">
        <v>13097</v>
      </c>
      <c r="F118">
        <v>180</v>
      </c>
      <c r="G118">
        <v>374.4</v>
      </c>
      <c r="I118">
        <v>1671.21</v>
      </c>
    </row>
    <row r="119" spans="1:9" ht="15.75" customHeight="1">
      <c r="A119" s="5">
        <v>117</v>
      </c>
      <c r="D119">
        <v>0</v>
      </c>
      <c r="F119">
        <v>0</v>
      </c>
      <c r="G119">
        <v>0</v>
      </c>
      <c r="I119">
        <v>0</v>
      </c>
    </row>
    <row r="120" spans="1:9" ht="15.75" customHeight="1">
      <c r="A120" s="6">
        <v>118</v>
      </c>
      <c r="D120">
        <v>0</v>
      </c>
      <c r="F120">
        <v>0</v>
      </c>
      <c r="G120">
        <v>0</v>
      </c>
      <c r="I120">
        <v>0</v>
      </c>
    </row>
    <row r="121" spans="1:9" ht="15.75" customHeight="1">
      <c r="A121" s="6">
        <v>119</v>
      </c>
      <c r="D121">
        <v>0</v>
      </c>
      <c r="F121">
        <v>0</v>
      </c>
      <c r="G121">
        <v>0</v>
      </c>
      <c r="I121">
        <v>0</v>
      </c>
    </row>
    <row r="122" spans="1:9" ht="15.75" customHeight="1">
      <c r="A122" s="6">
        <v>120</v>
      </c>
      <c r="D122">
        <v>0</v>
      </c>
      <c r="F122">
        <v>0</v>
      </c>
      <c r="G122">
        <v>0</v>
      </c>
      <c r="I122">
        <v>0</v>
      </c>
    </row>
    <row r="123" spans="1:9" ht="15.75" customHeight="1">
      <c r="A123" s="6">
        <v>121</v>
      </c>
      <c r="D123">
        <v>13</v>
      </c>
      <c r="E123">
        <v>13</v>
      </c>
      <c r="F123">
        <v>0</v>
      </c>
      <c r="G123">
        <v>0</v>
      </c>
      <c r="I123">
        <v>-2507.4</v>
      </c>
    </row>
    <row r="124" spans="1:9" ht="15.75" customHeight="1">
      <c r="A124" s="6">
        <v>122</v>
      </c>
      <c r="D124">
        <v>10640</v>
      </c>
      <c r="E124">
        <v>10770</v>
      </c>
      <c r="F124">
        <v>130</v>
      </c>
      <c r="G124">
        <v>270.39999999999998</v>
      </c>
      <c r="I124">
        <v>-992.79</v>
      </c>
    </row>
    <row r="125" spans="1:9" ht="15.75" customHeight="1">
      <c r="A125" s="6">
        <v>123</v>
      </c>
      <c r="D125">
        <v>0</v>
      </c>
      <c r="F125">
        <v>0</v>
      </c>
      <c r="G125">
        <v>0</v>
      </c>
      <c r="I125">
        <v>0</v>
      </c>
    </row>
    <row r="126" spans="1:9" ht="15.75" customHeight="1">
      <c r="A126" s="6">
        <v>124</v>
      </c>
      <c r="D126">
        <v>0</v>
      </c>
      <c r="F126">
        <v>0</v>
      </c>
      <c r="G126">
        <v>0</v>
      </c>
      <c r="I126">
        <v>0</v>
      </c>
    </row>
    <row r="127" spans="1:9" ht="15.75" customHeight="1">
      <c r="A127" s="6">
        <v>125</v>
      </c>
      <c r="D127">
        <v>16830</v>
      </c>
      <c r="E127">
        <v>17103</v>
      </c>
      <c r="F127">
        <v>273</v>
      </c>
      <c r="G127">
        <v>567.84</v>
      </c>
      <c r="I127">
        <v>1894.03</v>
      </c>
    </row>
    <row r="128" spans="1:9" ht="15.75" customHeight="1">
      <c r="A128" s="6">
        <v>126</v>
      </c>
      <c r="D128">
        <v>4282</v>
      </c>
      <c r="E128">
        <v>4284</v>
      </c>
      <c r="F128">
        <v>2</v>
      </c>
      <c r="G128">
        <v>4.16</v>
      </c>
      <c r="I128">
        <v>82.14</v>
      </c>
    </row>
    <row r="129" spans="1:9" ht="15.75" customHeight="1">
      <c r="A129" s="6">
        <v>127</v>
      </c>
      <c r="D129">
        <v>0</v>
      </c>
      <c r="F129">
        <v>0</v>
      </c>
      <c r="G129">
        <v>0</v>
      </c>
      <c r="I129">
        <v>0</v>
      </c>
    </row>
    <row r="130" spans="1:9" ht="15.75" customHeight="1">
      <c r="A130" s="6">
        <v>128</v>
      </c>
      <c r="D130">
        <v>0</v>
      </c>
      <c r="F130">
        <v>0</v>
      </c>
      <c r="G130">
        <v>0</v>
      </c>
      <c r="I130">
        <v>0</v>
      </c>
    </row>
    <row r="131" spans="1:9" ht="15.75" customHeight="1">
      <c r="A131" s="6">
        <v>129</v>
      </c>
      <c r="D131">
        <v>959</v>
      </c>
      <c r="E131">
        <v>959</v>
      </c>
      <c r="F131">
        <v>0</v>
      </c>
      <c r="G131">
        <v>0</v>
      </c>
      <c r="I131">
        <v>3.6</v>
      </c>
    </row>
    <row r="132" spans="1:9" ht="15.75" customHeight="1">
      <c r="A132" s="6">
        <v>130</v>
      </c>
      <c r="D132">
        <v>152</v>
      </c>
      <c r="E132">
        <v>152</v>
      </c>
      <c r="F132">
        <v>0</v>
      </c>
      <c r="G132">
        <v>0</v>
      </c>
      <c r="I132">
        <v>293.36</v>
      </c>
    </row>
    <row r="133" spans="1:9" ht="15.75" customHeight="1">
      <c r="A133" s="6">
        <v>131</v>
      </c>
      <c r="D133">
        <v>0</v>
      </c>
      <c r="F133">
        <v>0</v>
      </c>
      <c r="G133">
        <v>0</v>
      </c>
      <c r="I133">
        <v>0</v>
      </c>
    </row>
    <row r="134" spans="1:9" ht="15.75" customHeight="1">
      <c r="A134" s="6">
        <v>132</v>
      </c>
      <c r="D134">
        <v>0</v>
      </c>
      <c r="F134">
        <v>0</v>
      </c>
      <c r="G134">
        <v>0</v>
      </c>
      <c r="I134">
        <v>0</v>
      </c>
    </row>
    <row r="135" spans="1:9" ht="15.75" customHeight="1">
      <c r="A135" s="6">
        <v>133</v>
      </c>
      <c r="D135">
        <v>0</v>
      </c>
      <c r="F135">
        <v>0</v>
      </c>
      <c r="G135">
        <v>0</v>
      </c>
      <c r="I135">
        <v>0</v>
      </c>
    </row>
    <row r="136" spans="1:9" ht="15.75" customHeight="1">
      <c r="A136" s="6">
        <v>134</v>
      </c>
      <c r="D136">
        <v>0</v>
      </c>
      <c r="F136">
        <v>0</v>
      </c>
      <c r="G136">
        <v>0</v>
      </c>
      <c r="I136">
        <v>0</v>
      </c>
    </row>
    <row r="137" spans="1:9" ht="15.75" customHeight="1">
      <c r="A137" s="6">
        <v>135</v>
      </c>
      <c r="D137">
        <v>0</v>
      </c>
      <c r="F137">
        <v>0</v>
      </c>
      <c r="G137">
        <v>0</v>
      </c>
      <c r="I137">
        <v>0</v>
      </c>
    </row>
    <row r="138" spans="1:9" ht="15.75" customHeight="1">
      <c r="A138" s="6">
        <v>136</v>
      </c>
      <c r="D138">
        <v>0</v>
      </c>
      <c r="F138">
        <v>0</v>
      </c>
      <c r="G138">
        <v>0</v>
      </c>
      <c r="I138">
        <v>0</v>
      </c>
    </row>
    <row r="139" spans="1:9" ht="15.75" customHeight="1">
      <c r="A139" s="6">
        <v>137</v>
      </c>
      <c r="D139">
        <v>0</v>
      </c>
      <c r="F139">
        <v>0</v>
      </c>
      <c r="G139">
        <v>0</v>
      </c>
      <c r="I139">
        <v>0</v>
      </c>
    </row>
    <row r="140" spans="1:9" ht="15.75" customHeight="1">
      <c r="A140" s="6">
        <v>138</v>
      </c>
      <c r="D140">
        <v>0</v>
      </c>
      <c r="F140">
        <v>0</v>
      </c>
      <c r="G140">
        <v>0</v>
      </c>
      <c r="I140">
        <v>0</v>
      </c>
    </row>
    <row r="141" spans="1:9" ht="15.75" customHeight="1">
      <c r="A141" s="6">
        <v>139</v>
      </c>
      <c r="D141">
        <v>0</v>
      </c>
      <c r="F141">
        <v>0</v>
      </c>
      <c r="G141">
        <v>0</v>
      </c>
      <c r="I141">
        <v>0</v>
      </c>
    </row>
    <row r="142" spans="1:9" ht="15.75" customHeight="1">
      <c r="A142" s="6">
        <v>140</v>
      </c>
      <c r="D142">
        <v>20</v>
      </c>
      <c r="E142">
        <v>20</v>
      </c>
      <c r="F142">
        <v>0</v>
      </c>
      <c r="G142">
        <v>0</v>
      </c>
      <c r="I142">
        <v>-458.4</v>
      </c>
    </row>
    <row r="143" spans="1:9" ht="15.75" customHeight="1">
      <c r="A143" s="6">
        <v>141</v>
      </c>
      <c r="D143">
        <v>448</v>
      </c>
      <c r="E143">
        <v>454</v>
      </c>
      <c r="F143">
        <v>6</v>
      </c>
      <c r="G143">
        <v>12.48</v>
      </c>
      <c r="I143">
        <v>57.43</v>
      </c>
    </row>
    <row r="144" spans="1:9" ht="15.75" customHeight="1">
      <c r="A144" s="7">
        <v>142</v>
      </c>
      <c r="D144">
        <v>9223</v>
      </c>
      <c r="E144">
        <v>9749</v>
      </c>
      <c r="F144">
        <v>526</v>
      </c>
      <c r="G144">
        <v>1094.08</v>
      </c>
      <c r="I144">
        <v>6174.49</v>
      </c>
    </row>
    <row r="145" spans="1:9" ht="15.75" customHeight="1">
      <c r="A145" s="6">
        <v>143</v>
      </c>
      <c r="D145">
        <v>3134</v>
      </c>
      <c r="E145">
        <v>3473</v>
      </c>
      <c r="F145">
        <v>339</v>
      </c>
      <c r="G145">
        <v>705.12</v>
      </c>
      <c r="I145">
        <v>3748.33</v>
      </c>
    </row>
    <row r="146" spans="1:9" ht="15.75" customHeight="1">
      <c r="A146" s="6">
        <v>144</v>
      </c>
      <c r="D146">
        <v>0</v>
      </c>
      <c r="F146">
        <v>0</v>
      </c>
      <c r="G146">
        <v>0</v>
      </c>
      <c r="I146">
        <v>0</v>
      </c>
    </row>
    <row r="147" spans="1:9" ht="15.75" customHeight="1">
      <c r="A147" s="6">
        <v>145</v>
      </c>
      <c r="D147">
        <v>3650</v>
      </c>
      <c r="E147">
        <v>3850</v>
      </c>
      <c r="F147">
        <v>200</v>
      </c>
      <c r="G147">
        <v>416</v>
      </c>
      <c r="I147">
        <v>1248</v>
      </c>
    </row>
    <row r="148" spans="1:9" ht="15.75" customHeight="1">
      <c r="A148" s="6">
        <v>146</v>
      </c>
      <c r="D148">
        <v>0</v>
      </c>
      <c r="F148">
        <v>0</v>
      </c>
      <c r="G148">
        <v>0</v>
      </c>
      <c r="I148">
        <v>0</v>
      </c>
    </row>
    <row r="149" spans="1:9" ht="15.75" customHeight="1">
      <c r="A149" s="6">
        <v>147</v>
      </c>
      <c r="D149">
        <v>0</v>
      </c>
      <c r="F149">
        <v>0</v>
      </c>
      <c r="G149">
        <v>0</v>
      </c>
      <c r="I149">
        <v>0</v>
      </c>
    </row>
    <row r="150" spans="1:9" ht="15.75" customHeight="1">
      <c r="A150" s="6">
        <v>148</v>
      </c>
      <c r="D150">
        <v>0</v>
      </c>
      <c r="F150">
        <v>0</v>
      </c>
      <c r="G150">
        <v>0</v>
      </c>
      <c r="I150">
        <v>0</v>
      </c>
    </row>
    <row r="151" spans="1:9" ht="15.75" customHeight="1">
      <c r="A151" s="6">
        <v>149</v>
      </c>
      <c r="D151">
        <v>132</v>
      </c>
      <c r="E151">
        <v>132</v>
      </c>
      <c r="F151">
        <v>0</v>
      </c>
      <c r="G151">
        <v>0</v>
      </c>
      <c r="I151">
        <v>-36</v>
      </c>
    </row>
    <row r="152" spans="1:9" ht="15.75" customHeight="1">
      <c r="A152" s="7">
        <v>150</v>
      </c>
      <c r="D152">
        <v>31153</v>
      </c>
      <c r="E152">
        <v>31790</v>
      </c>
      <c r="F152">
        <v>637</v>
      </c>
      <c r="G152">
        <v>1324.96</v>
      </c>
      <c r="I152">
        <v>2583.3200000000002</v>
      </c>
    </row>
    <row r="153" spans="1:9" ht="15.75" customHeight="1">
      <c r="A153" s="6">
        <v>151</v>
      </c>
      <c r="D153">
        <v>0</v>
      </c>
      <c r="F153">
        <v>0</v>
      </c>
      <c r="G153">
        <v>0</v>
      </c>
      <c r="I153">
        <v>0</v>
      </c>
    </row>
    <row r="154" spans="1:9" ht="15.75" customHeight="1">
      <c r="A154" s="6">
        <v>152</v>
      </c>
      <c r="D154">
        <v>29473</v>
      </c>
      <c r="E154">
        <v>29685</v>
      </c>
      <c r="F154">
        <v>212</v>
      </c>
      <c r="G154">
        <v>440.96</v>
      </c>
      <c r="I154">
        <v>-226.34</v>
      </c>
    </row>
    <row r="155" spans="1:9" ht="15.75" customHeight="1">
      <c r="A155" s="6">
        <v>153</v>
      </c>
      <c r="D155">
        <v>0</v>
      </c>
      <c r="F155">
        <v>0</v>
      </c>
      <c r="G155">
        <v>0</v>
      </c>
      <c r="I155">
        <v>0</v>
      </c>
    </row>
    <row r="156" spans="1:9" ht="15.75" customHeight="1">
      <c r="A156" s="6">
        <v>154</v>
      </c>
      <c r="D156">
        <v>14625</v>
      </c>
      <c r="E156">
        <v>14730</v>
      </c>
      <c r="F156">
        <v>105</v>
      </c>
      <c r="G156">
        <v>218.4</v>
      </c>
      <c r="I156">
        <v>2558.56</v>
      </c>
    </row>
    <row r="157" spans="1:9" ht="15.75" customHeight="1">
      <c r="A157" s="6">
        <v>155</v>
      </c>
      <c r="D157">
        <v>134</v>
      </c>
      <c r="E157">
        <v>134</v>
      </c>
      <c r="F157">
        <v>0</v>
      </c>
      <c r="G157">
        <v>0</v>
      </c>
      <c r="I157">
        <v>-232.66</v>
      </c>
    </row>
    <row r="158" spans="1:9" ht="15.75" customHeight="1">
      <c r="A158" s="6">
        <v>156</v>
      </c>
      <c r="D158">
        <v>565</v>
      </c>
      <c r="E158">
        <v>565</v>
      </c>
      <c r="F158">
        <v>0</v>
      </c>
      <c r="G158">
        <v>0</v>
      </c>
      <c r="I158">
        <v>-87.67</v>
      </c>
    </row>
    <row r="159" spans="1:9" ht="15.75" customHeight="1">
      <c r="A159" s="6">
        <v>157</v>
      </c>
      <c r="D159">
        <v>0</v>
      </c>
      <c r="F159">
        <v>0</v>
      </c>
      <c r="G159">
        <v>0</v>
      </c>
      <c r="I159">
        <v>0</v>
      </c>
    </row>
    <row r="160" spans="1:9" ht="15.75" customHeight="1">
      <c r="A160" s="6">
        <v>158</v>
      </c>
      <c r="D160">
        <v>0</v>
      </c>
      <c r="F160">
        <v>0</v>
      </c>
      <c r="G160">
        <v>0</v>
      </c>
      <c r="I160">
        <v>0</v>
      </c>
    </row>
    <row r="161" spans="1:9" ht="15.75" customHeight="1">
      <c r="A161" s="6">
        <v>159</v>
      </c>
      <c r="D161">
        <v>0</v>
      </c>
      <c r="F161">
        <v>0</v>
      </c>
      <c r="G161">
        <v>0</v>
      </c>
      <c r="I161">
        <v>0</v>
      </c>
    </row>
    <row r="162" spans="1:9" ht="15.75" customHeight="1">
      <c r="A162" s="6">
        <v>160</v>
      </c>
      <c r="D162">
        <v>0</v>
      </c>
      <c r="F162">
        <v>0</v>
      </c>
      <c r="G162">
        <v>0</v>
      </c>
      <c r="I162">
        <v>0</v>
      </c>
    </row>
    <row r="163" spans="1:9" ht="15.75" customHeight="1">
      <c r="A163" s="6">
        <v>161</v>
      </c>
      <c r="D163">
        <v>8175</v>
      </c>
      <c r="E163">
        <v>8175</v>
      </c>
      <c r="F163">
        <v>0</v>
      </c>
      <c r="G163">
        <v>0</v>
      </c>
      <c r="I163">
        <v>-28.1</v>
      </c>
    </row>
    <row r="164" spans="1:9" ht="15.75" customHeight="1">
      <c r="A164" s="6">
        <v>162</v>
      </c>
      <c r="D164">
        <v>0</v>
      </c>
      <c r="F164">
        <v>0</v>
      </c>
      <c r="G164">
        <v>0</v>
      </c>
      <c r="I164">
        <v>0</v>
      </c>
    </row>
    <row r="165" spans="1:9" ht="15.75" customHeight="1">
      <c r="A165" s="6">
        <v>163</v>
      </c>
      <c r="D165">
        <v>1318</v>
      </c>
      <c r="E165">
        <v>1318</v>
      </c>
      <c r="F165">
        <v>0</v>
      </c>
      <c r="G165">
        <v>0</v>
      </c>
      <c r="I165">
        <v>2741.44</v>
      </c>
    </row>
    <row r="166" spans="1:9" ht="15.75" customHeight="1">
      <c r="A166" s="6">
        <v>163</v>
      </c>
      <c r="D166">
        <v>33720</v>
      </c>
      <c r="E166">
        <v>33720</v>
      </c>
      <c r="F166">
        <v>0</v>
      </c>
      <c r="G166">
        <v>0</v>
      </c>
      <c r="I166">
        <v>868.52</v>
      </c>
    </row>
    <row r="167" spans="1:9" ht="15.75" customHeight="1">
      <c r="A167" s="6">
        <v>164</v>
      </c>
      <c r="D167">
        <v>0</v>
      </c>
      <c r="F167">
        <v>0</v>
      </c>
      <c r="G167">
        <v>0</v>
      </c>
      <c r="I167">
        <v>-3.64</v>
      </c>
    </row>
    <row r="168" spans="1:9" ht="15.75" customHeight="1">
      <c r="A168" s="6">
        <v>165</v>
      </c>
      <c r="D168">
        <v>474</v>
      </c>
      <c r="E168">
        <v>474</v>
      </c>
      <c r="F168">
        <v>0</v>
      </c>
      <c r="G168">
        <v>0</v>
      </c>
      <c r="I168">
        <v>780.07</v>
      </c>
    </row>
    <row r="169" spans="1:9" ht="15.75" customHeight="1">
      <c r="A169" s="6">
        <v>166</v>
      </c>
      <c r="D169">
        <v>7301</v>
      </c>
      <c r="E169">
        <v>7301</v>
      </c>
      <c r="F169">
        <v>0</v>
      </c>
      <c r="G169">
        <v>0</v>
      </c>
      <c r="I169">
        <v>8243.57</v>
      </c>
    </row>
    <row r="170" spans="1:9" ht="15.75" customHeight="1">
      <c r="A170" s="6">
        <v>167</v>
      </c>
      <c r="D170">
        <v>710</v>
      </c>
      <c r="E170">
        <v>710</v>
      </c>
      <c r="F170">
        <v>0</v>
      </c>
      <c r="G170">
        <v>0</v>
      </c>
      <c r="I170">
        <v>-10.51</v>
      </c>
    </row>
    <row r="171" spans="1:9" ht="15.75" customHeight="1">
      <c r="A171" s="6">
        <v>168</v>
      </c>
      <c r="D171">
        <v>10</v>
      </c>
      <c r="E171">
        <v>10</v>
      </c>
      <c r="F171">
        <v>0</v>
      </c>
      <c r="G171">
        <v>0</v>
      </c>
      <c r="I171">
        <v>14.8</v>
      </c>
    </row>
    <row r="172" spans="1:9" ht="15.75" customHeight="1">
      <c r="A172" s="6">
        <v>169</v>
      </c>
      <c r="D172">
        <v>0</v>
      </c>
      <c r="F172">
        <v>0</v>
      </c>
      <c r="G172">
        <v>0</v>
      </c>
      <c r="I172">
        <v>0</v>
      </c>
    </row>
    <row r="173" spans="1:9" ht="15.75" customHeight="1">
      <c r="A173" s="6">
        <v>170</v>
      </c>
      <c r="D173">
        <v>11700</v>
      </c>
      <c r="E173">
        <v>12030</v>
      </c>
      <c r="F173">
        <v>330</v>
      </c>
      <c r="G173">
        <v>686.4</v>
      </c>
      <c r="I173">
        <v>1456.74</v>
      </c>
    </row>
    <row r="174" spans="1:9" ht="15.75" customHeight="1">
      <c r="A174" s="6">
        <v>171</v>
      </c>
      <c r="D174">
        <v>16706</v>
      </c>
      <c r="E174">
        <v>17066</v>
      </c>
      <c r="F174">
        <v>360</v>
      </c>
      <c r="G174">
        <v>748.8</v>
      </c>
      <c r="I174">
        <v>721.28</v>
      </c>
    </row>
    <row r="175" spans="1:9" ht="15.75" customHeight="1">
      <c r="A175" s="6">
        <v>172</v>
      </c>
      <c r="D175">
        <v>418</v>
      </c>
      <c r="E175">
        <v>418</v>
      </c>
      <c r="F175">
        <v>0</v>
      </c>
      <c r="G175">
        <v>0</v>
      </c>
      <c r="I175">
        <v>434.11</v>
      </c>
    </row>
    <row r="176" spans="1:9" ht="15.75" customHeight="1">
      <c r="A176" s="6">
        <v>173</v>
      </c>
      <c r="D176">
        <v>16033</v>
      </c>
      <c r="E176">
        <v>16033</v>
      </c>
      <c r="F176">
        <v>0</v>
      </c>
      <c r="G176">
        <v>0</v>
      </c>
      <c r="I176">
        <v>22372.3</v>
      </c>
    </row>
    <row r="177" spans="1:9" ht="15.75" customHeight="1">
      <c r="A177" s="6">
        <v>174</v>
      </c>
      <c r="D177">
        <v>13913</v>
      </c>
      <c r="E177">
        <v>14410</v>
      </c>
      <c r="F177">
        <v>497</v>
      </c>
      <c r="G177">
        <v>1033.76</v>
      </c>
      <c r="I177">
        <v>-2905</v>
      </c>
    </row>
    <row r="178" spans="1:9" ht="15.75" customHeight="1">
      <c r="A178" s="6">
        <v>175</v>
      </c>
      <c r="D178">
        <v>3007</v>
      </c>
      <c r="E178">
        <v>3007</v>
      </c>
      <c r="F178">
        <v>0</v>
      </c>
      <c r="G178">
        <v>0</v>
      </c>
      <c r="I178">
        <v>-196.21</v>
      </c>
    </row>
    <row r="179" spans="1:9" ht="15.75" customHeight="1">
      <c r="A179" s="6">
        <v>176</v>
      </c>
      <c r="D179">
        <v>8425</v>
      </c>
      <c r="E179">
        <v>8503</v>
      </c>
      <c r="F179">
        <v>78</v>
      </c>
      <c r="G179">
        <v>162.24</v>
      </c>
      <c r="I179">
        <v>2310.3000000000002</v>
      </c>
    </row>
    <row r="180" spans="1:9" ht="15.75" customHeight="1">
      <c r="A180" s="6">
        <v>177</v>
      </c>
      <c r="D180">
        <v>168</v>
      </c>
      <c r="E180">
        <v>170</v>
      </c>
      <c r="F180">
        <v>2</v>
      </c>
      <c r="G180">
        <v>4.16</v>
      </c>
      <c r="I180">
        <v>-113.67</v>
      </c>
    </row>
    <row r="181" spans="1:9" ht="15.75" customHeight="1">
      <c r="A181" s="6">
        <v>178</v>
      </c>
      <c r="D181">
        <v>38231</v>
      </c>
      <c r="E181">
        <v>39171</v>
      </c>
      <c r="F181">
        <v>940</v>
      </c>
      <c r="G181">
        <v>1955.2</v>
      </c>
      <c r="I181">
        <v>1942.46</v>
      </c>
    </row>
    <row r="182" spans="1:9" ht="15.75" customHeight="1">
      <c r="A182" s="6">
        <v>179</v>
      </c>
      <c r="D182">
        <v>254</v>
      </c>
      <c r="E182">
        <v>284</v>
      </c>
      <c r="F182">
        <v>30</v>
      </c>
      <c r="G182">
        <v>62.4</v>
      </c>
      <c r="I182">
        <v>377.93</v>
      </c>
    </row>
    <row r="183" spans="1:9" ht="15.75" customHeight="1">
      <c r="A183" s="6">
        <v>180</v>
      </c>
      <c r="D183">
        <v>0</v>
      </c>
      <c r="F183">
        <v>0</v>
      </c>
      <c r="G183">
        <v>0</v>
      </c>
      <c r="I183">
        <v>-0.05</v>
      </c>
    </row>
    <row r="184" spans="1:9" ht="15.75" customHeight="1">
      <c r="A184" s="6">
        <v>181</v>
      </c>
      <c r="D184">
        <v>0</v>
      </c>
      <c r="F184">
        <v>0</v>
      </c>
      <c r="G184">
        <v>0</v>
      </c>
      <c r="I184">
        <v>0</v>
      </c>
    </row>
    <row r="185" spans="1:9" ht="15.75" customHeight="1">
      <c r="A185" s="6">
        <v>182</v>
      </c>
      <c r="D185">
        <v>0</v>
      </c>
      <c r="F185">
        <v>0</v>
      </c>
      <c r="G185">
        <v>0</v>
      </c>
      <c r="I185">
        <v>0</v>
      </c>
    </row>
    <row r="186" spans="1:9" ht="15.75" customHeight="1">
      <c r="A186" s="6">
        <v>183</v>
      </c>
      <c r="D186">
        <v>1645</v>
      </c>
      <c r="E186">
        <v>1655</v>
      </c>
      <c r="F186">
        <v>10</v>
      </c>
      <c r="G186">
        <v>20.8</v>
      </c>
      <c r="I186">
        <v>108.76</v>
      </c>
    </row>
    <row r="187" spans="1:9" ht="15.75" customHeight="1">
      <c r="A187" s="6">
        <v>184</v>
      </c>
      <c r="D187">
        <v>0</v>
      </c>
      <c r="F187">
        <v>0</v>
      </c>
      <c r="G187">
        <v>0</v>
      </c>
      <c r="I187">
        <v>0</v>
      </c>
    </row>
    <row r="188" spans="1:9" ht="15.75" customHeight="1">
      <c r="A188" s="6">
        <v>185</v>
      </c>
      <c r="D188">
        <v>53687</v>
      </c>
      <c r="E188">
        <v>53750</v>
      </c>
      <c r="F188">
        <v>63</v>
      </c>
      <c r="G188">
        <v>131.04</v>
      </c>
      <c r="I188">
        <v>130.52000000000001</v>
      </c>
    </row>
    <row r="189" spans="1:9" ht="15.75" customHeight="1">
      <c r="A189" s="7">
        <v>186</v>
      </c>
      <c r="D189">
        <v>54012</v>
      </c>
      <c r="E189">
        <v>54012</v>
      </c>
      <c r="F189">
        <v>0</v>
      </c>
      <c r="G189">
        <v>0</v>
      </c>
      <c r="I189">
        <v>5801.19</v>
      </c>
    </row>
    <row r="190" spans="1:9" ht="15.75" customHeight="1">
      <c r="A190" s="6">
        <v>187</v>
      </c>
      <c r="D190">
        <v>667</v>
      </c>
      <c r="E190">
        <v>667</v>
      </c>
      <c r="F190">
        <v>0</v>
      </c>
      <c r="G190">
        <v>0</v>
      </c>
      <c r="I190">
        <v>-1230.82</v>
      </c>
    </row>
    <row r="191" spans="1:9" ht="15.75" customHeight="1">
      <c r="A191" s="6"/>
      <c r="D191">
        <v>166</v>
      </c>
      <c r="E191">
        <v>166</v>
      </c>
      <c r="G191">
        <v>0</v>
      </c>
    </row>
    <row r="192" spans="1:9" ht="15.75" customHeight="1">
      <c r="A192" s="6">
        <v>188</v>
      </c>
      <c r="D192">
        <v>3333</v>
      </c>
      <c r="E192">
        <v>333</v>
      </c>
      <c r="F192">
        <v>-3000</v>
      </c>
      <c r="G192">
        <v>-6240</v>
      </c>
      <c r="I192">
        <v>-6240.58</v>
      </c>
    </row>
    <row r="193" spans="1:9" ht="15.75" customHeight="1">
      <c r="A193" s="6">
        <v>189</v>
      </c>
      <c r="D193">
        <v>0</v>
      </c>
      <c r="F193">
        <v>0</v>
      </c>
      <c r="G193">
        <v>0</v>
      </c>
      <c r="I193">
        <v>0</v>
      </c>
    </row>
    <row r="194" spans="1:9" ht="15.75" customHeight="1">
      <c r="A194" s="6">
        <v>190</v>
      </c>
      <c r="D194">
        <v>0</v>
      </c>
      <c r="F194">
        <v>0</v>
      </c>
      <c r="G194">
        <v>0</v>
      </c>
      <c r="I194">
        <v>0</v>
      </c>
    </row>
    <row r="195" spans="1:9" ht="15.75" customHeight="1">
      <c r="A195" s="6">
        <v>191</v>
      </c>
      <c r="D195">
        <v>0</v>
      </c>
      <c r="F195">
        <v>0</v>
      </c>
      <c r="G195">
        <v>0</v>
      </c>
      <c r="I195">
        <v>0</v>
      </c>
    </row>
    <row r="196" spans="1:9" ht="15.75" customHeight="1">
      <c r="A196" s="6">
        <v>192</v>
      </c>
      <c r="D196">
        <v>127358</v>
      </c>
      <c r="E196">
        <v>128193</v>
      </c>
      <c r="F196">
        <v>835</v>
      </c>
      <c r="G196">
        <v>1736.8</v>
      </c>
      <c r="I196">
        <v>26621.7</v>
      </c>
    </row>
    <row r="197" spans="1:9" ht="15.75" customHeight="1">
      <c r="A197" s="6">
        <v>193</v>
      </c>
      <c r="D197">
        <v>206</v>
      </c>
      <c r="E197">
        <v>666</v>
      </c>
      <c r="F197">
        <v>460</v>
      </c>
      <c r="G197">
        <v>956.8</v>
      </c>
      <c r="I197">
        <v>1385.28</v>
      </c>
    </row>
    <row r="198" spans="1:9" ht="15.75" customHeight="1">
      <c r="A198" s="6">
        <v>194</v>
      </c>
      <c r="D198">
        <v>0</v>
      </c>
      <c r="F198">
        <v>0</v>
      </c>
      <c r="G198">
        <v>0</v>
      </c>
      <c r="I198">
        <v>0</v>
      </c>
    </row>
    <row r="199" spans="1:9" ht="15.75" customHeight="1">
      <c r="A199" s="6">
        <v>195</v>
      </c>
      <c r="D199">
        <v>12943</v>
      </c>
      <c r="E199">
        <v>12943</v>
      </c>
      <c r="F199">
        <v>0</v>
      </c>
      <c r="G199">
        <v>0</v>
      </c>
      <c r="I199">
        <v>22481.22</v>
      </c>
    </row>
    <row r="200" spans="1:9" ht="15.75" customHeight="1">
      <c r="A200" s="6">
        <v>196</v>
      </c>
      <c r="D200">
        <v>13568</v>
      </c>
      <c r="E200">
        <v>14013</v>
      </c>
      <c r="F200">
        <v>445</v>
      </c>
      <c r="G200">
        <v>925.6</v>
      </c>
      <c r="I200">
        <v>1719.66</v>
      </c>
    </row>
    <row r="201" spans="1:9" ht="15.75" customHeight="1">
      <c r="A201" s="7">
        <v>197</v>
      </c>
      <c r="D201">
        <v>0</v>
      </c>
      <c r="F201">
        <v>0</v>
      </c>
      <c r="G201">
        <v>0</v>
      </c>
      <c r="I201">
        <v>0</v>
      </c>
    </row>
    <row r="202" spans="1:9" ht="15.75" customHeight="1">
      <c r="A202" s="6">
        <v>198</v>
      </c>
      <c r="D202">
        <v>0</v>
      </c>
      <c r="F202">
        <v>0</v>
      </c>
      <c r="G202">
        <v>0</v>
      </c>
      <c r="I202">
        <v>0</v>
      </c>
    </row>
    <row r="203" spans="1:9" ht="15.75" customHeight="1">
      <c r="A203" s="6">
        <v>199</v>
      </c>
      <c r="D203">
        <v>0</v>
      </c>
      <c r="F203">
        <v>0</v>
      </c>
      <c r="G203">
        <v>0</v>
      </c>
      <c r="I203">
        <v>0</v>
      </c>
    </row>
    <row r="204" spans="1:9" ht="15.75" customHeight="1">
      <c r="A204" s="6">
        <v>200</v>
      </c>
      <c r="D204">
        <v>0</v>
      </c>
      <c r="F204">
        <v>0</v>
      </c>
      <c r="G204">
        <v>0</v>
      </c>
      <c r="I204">
        <v>0</v>
      </c>
    </row>
    <row r="205" spans="1:9" ht="15.75" customHeight="1">
      <c r="A205" s="6">
        <v>201</v>
      </c>
      <c r="D205">
        <v>0</v>
      </c>
      <c r="F205">
        <v>0</v>
      </c>
      <c r="G205">
        <v>0</v>
      </c>
      <c r="I205">
        <v>0</v>
      </c>
    </row>
    <row r="206" spans="1:9" ht="15.75" customHeight="1">
      <c r="A206" s="6">
        <v>202</v>
      </c>
      <c r="D206">
        <v>0</v>
      </c>
      <c r="F206">
        <v>0</v>
      </c>
      <c r="G206">
        <v>0</v>
      </c>
      <c r="I206">
        <v>0</v>
      </c>
    </row>
    <row r="207" spans="1:9" ht="15.75" customHeight="1">
      <c r="A207" s="6">
        <v>203</v>
      </c>
      <c r="D207">
        <v>0</v>
      </c>
      <c r="F207">
        <v>0</v>
      </c>
      <c r="G207">
        <v>0</v>
      </c>
      <c r="I207">
        <v>0</v>
      </c>
    </row>
    <row r="208" spans="1:9" ht="15.75" customHeight="1">
      <c r="A208" s="6">
        <v>204</v>
      </c>
      <c r="D208">
        <v>0</v>
      </c>
      <c r="F208">
        <v>0</v>
      </c>
      <c r="G208">
        <v>0</v>
      </c>
      <c r="I208">
        <v>0</v>
      </c>
    </row>
    <row r="209" spans="1:10" ht="15.75" customHeight="1">
      <c r="A209" s="6">
        <v>205</v>
      </c>
      <c r="D209">
        <v>40001</v>
      </c>
      <c r="E209">
        <v>40609</v>
      </c>
      <c r="F209">
        <v>608</v>
      </c>
      <c r="G209">
        <v>1264.6400000000001</v>
      </c>
      <c r="H209">
        <v>3000</v>
      </c>
      <c r="I209" s="37" t="s">
        <v>8</v>
      </c>
    </row>
    <row r="210" spans="1:10" ht="15.75" customHeight="1">
      <c r="A210" s="6">
        <v>206</v>
      </c>
      <c r="D210">
        <v>7617</v>
      </c>
      <c r="E210">
        <v>7709</v>
      </c>
      <c r="F210">
        <v>92</v>
      </c>
      <c r="G210">
        <v>191.36</v>
      </c>
      <c r="I210">
        <v>628.24</v>
      </c>
    </row>
    <row r="211" spans="1:10">
      <c r="D211" s="12"/>
      <c r="E211" s="12"/>
      <c r="G211" s="12"/>
      <c r="H211" s="12"/>
      <c r="I211" s="12"/>
      <c r="J211" s="11"/>
    </row>
  </sheetData>
  <mergeCells count="3">
    <mergeCell ref="A1:C1"/>
    <mergeCell ref="D2:F2"/>
    <mergeCell ref="G2:I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40C5-BDCC-43E1-B5CD-69DE66087D31}">
  <dimension ref="A1:U211"/>
  <sheetViews>
    <sheetView topLeftCell="A191" workbookViewId="0" xr3:uid="{CA6CAA4F-F5C2-5FBA-A13F-FC4EA29A2C9C}">
      <selection activeCell="P2" sqref="P2:U211"/>
    </sheetView>
  </sheetViews>
  <sheetFormatPr defaultRowHeight="15"/>
  <cols>
    <col min="1" max="1" width="9" customWidth="1"/>
    <col min="2" max="2" width="0.28515625" hidden="1" customWidth="1"/>
    <col min="3" max="3" width="0.85546875" hidden="1" customWidth="1"/>
  </cols>
  <sheetData>
    <row r="1" spans="1:21">
      <c r="A1" s="28" t="s">
        <v>0</v>
      </c>
      <c r="B1" s="29"/>
      <c r="C1" s="30"/>
    </row>
    <row r="2" spans="1:21" ht="45">
      <c r="A2" s="34"/>
      <c r="B2" s="35"/>
      <c r="C2" s="36"/>
      <c r="D2" s="2" t="s">
        <v>1</v>
      </c>
      <c r="E2" s="3" t="s">
        <v>2</v>
      </c>
      <c r="F2" s="4" t="s">
        <v>3</v>
      </c>
      <c r="G2" s="9" t="s">
        <v>4</v>
      </c>
      <c r="H2" s="10" t="s">
        <v>5</v>
      </c>
      <c r="I2" s="8" t="s">
        <v>6</v>
      </c>
      <c r="J2" s="2" t="s">
        <v>1</v>
      </c>
      <c r="K2" s="3" t="s">
        <v>2</v>
      </c>
      <c r="L2" s="4" t="s">
        <v>3</v>
      </c>
      <c r="M2" s="9" t="s">
        <v>4</v>
      </c>
      <c r="N2" s="10" t="s">
        <v>5</v>
      </c>
      <c r="O2" s="8" t="s">
        <v>6</v>
      </c>
      <c r="P2" s="2" t="s">
        <v>1</v>
      </c>
      <c r="Q2" s="3" t="s">
        <v>2</v>
      </c>
      <c r="R2" s="4" t="s">
        <v>3</v>
      </c>
      <c r="S2" s="9" t="s">
        <v>4</v>
      </c>
      <c r="T2" s="10" t="s">
        <v>5</v>
      </c>
      <c r="U2" s="8" t="s">
        <v>6</v>
      </c>
    </row>
    <row r="3" spans="1:21">
      <c r="A3" s="1" t="s">
        <v>7</v>
      </c>
      <c r="D3" s="31">
        <v>43497</v>
      </c>
      <c r="E3" s="32"/>
      <c r="F3" s="33"/>
      <c r="G3" s="31">
        <v>43497</v>
      </c>
      <c r="H3" s="32"/>
      <c r="I3" s="33"/>
      <c r="J3" s="31">
        <v>43549</v>
      </c>
      <c r="K3" s="32"/>
      <c r="L3" s="33"/>
      <c r="M3" s="31">
        <v>43549</v>
      </c>
      <c r="N3" s="32"/>
      <c r="O3" s="33"/>
      <c r="P3" s="31">
        <v>43580</v>
      </c>
      <c r="Q3" s="32"/>
      <c r="R3" s="33"/>
      <c r="S3" s="31">
        <v>43580</v>
      </c>
      <c r="T3" s="32"/>
      <c r="U3" s="33"/>
    </row>
    <row r="4" spans="1:21">
      <c r="A4" s="5">
        <v>1</v>
      </c>
      <c r="B4" s="12">
        <v>0</v>
      </c>
      <c r="C4" s="12"/>
      <c r="D4" s="12">
        <v>0</v>
      </c>
      <c r="E4" s="12"/>
      <c r="F4" s="12">
        <v>0</v>
      </c>
      <c r="G4" s="12">
        <v>0</v>
      </c>
      <c r="H4" s="12"/>
      <c r="I4" s="12">
        <v>0</v>
      </c>
      <c r="J4" s="12">
        <v>0</v>
      </c>
      <c r="K4" s="13">
        <f>J4</f>
        <v>0</v>
      </c>
      <c r="L4" s="15">
        <f>K4-J4</f>
        <v>0</v>
      </c>
      <c r="M4" s="12">
        <v>0</v>
      </c>
      <c r="N4" s="14"/>
      <c r="O4" s="26">
        <v>0</v>
      </c>
      <c r="P4">
        <v>0</v>
      </c>
      <c r="R4">
        <v>0</v>
      </c>
      <c r="S4">
        <v>0</v>
      </c>
      <c r="U4">
        <v>0</v>
      </c>
    </row>
    <row r="5" spans="1:21">
      <c r="A5" s="6">
        <v>2</v>
      </c>
      <c r="B5" s="12">
        <v>0</v>
      </c>
      <c r="C5" s="12"/>
      <c r="D5" s="12">
        <v>0</v>
      </c>
      <c r="E5" s="12"/>
      <c r="F5" s="12">
        <v>0</v>
      </c>
      <c r="G5" s="12">
        <v>0</v>
      </c>
      <c r="H5" s="12"/>
      <c r="I5" s="12">
        <v>0</v>
      </c>
      <c r="J5" s="12">
        <v>0</v>
      </c>
      <c r="K5" s="13">
        <f t="shared" ref="K5:K62" si="0">J5</f>
        <v>0</v>
      </c>
      <c r="L5" s="15">
        <f t="shared" ref="L5:L68" si="1">K5-J5</f>
        <v>0</v>
      </c>
      <c r="M5" s="12">
        <v>0</v>
      </c>
      <c r="N5" s="16"/>
      <c r="O5" s="27">
        <v>0</v>
      </c>
      <c r="P5">
        <v>0</v>
      </c>
      <c r="R5">
        <v>0</v>
      </c>
      <c r="S5">
        <v>0</v>
      </c>
      <c r="U5">
        <v>0</v>
      </c>
    </row>
    <row r="6" spans="1:21">
      <c r="A6" s="6">
        <v>3</v>
      </c>
      <c r="B6" s="12">
        <v>0</v>
      </c>
      <c r="C6" s="12"/>
      <c r="D6" s="12">
        <v>0</v>
      </c>
      <c r="E6" s="12"/>
      <c r="F6" s="12">
        <v>0</v>
      </c>
      <c r="G6" s="12">
        <v>0</v>
      </c>
      <c r="H6" s="12"/>
      <c r="I6" s="12">
        <v>0</v>
      </c>
      <c r="J6" s="12">
        <v>0</v>
      </c>
      <c r="K6" s="13">
        <f t="shared" si="0"/>
        <v>0</v>
      </c>
      <c r="L6" s="15">
        <f t="shared" si="1"/>
        <v>0</v>
      </c>
      <c r="M6" s="12">
        <v>0</v>
      </c>
      <c r="N6" s="16"/>
      <c r="O6" s="27">
        <v>0</v>
      </c>
      <c r="P6">
        <v>0</v>
      </c>
      <c r="R6">
        <v>0</v>
      </c>
      <c r="S6">
        <v>0</v>
      </c>
      <c r="U6">
        <v>0</v>
      </c>
    </row>
    <row r="7" spans="1:21">
      <c r="A7" s="6">
        <v>4</v>
      </c>
      <c r="B7" s="12">
        <v>0</v>
      </c>
      <c r="C7" s="12"/>
      <c r="D7" s="12">
        <v>0</v>
      </c>
      <c r="E7" s="12"/>
      <c r="F7" s="12">
        <v>0</v>
      </c>
      <c r="G7" s="12">
        <v>0</v>
      </c>
      <c r="H7" s="12"/>
      <c r="I7" s="12">
        <v>0</v>
      </c>
      <c r="J7" s="12">
        <v>0</v>
      </c>
      <c r="K7" s="13">
        <f t="shared" si="0"/>
        <v>0</v>
      </c>
      <c r="L7" s="15">
        <f t="shared" si="1"/>
        <v>0</v>
      </c>
      <c r="M7" s="12">
        <v>0</v>
      </c>
      <c r="N7" s="16"/>
      <c r="O7" s="27">
        <v>0</v>
      </c>
      <c r="P7">
        <v>0</v>
      </c>
      <c r="R7">
        <v>0</v>
      </c>
      <c r="S7">
        <v>0</v>
      </c>
      <c r="U7">
        <v>0</v>
      </c>
    </row>
    <row r="8" spans="1:21">
      <c r="A8" s="6">
        <v>5</v>
      </c>
      <c r="B8" s="12">
        <v>0</v>
      </c>
      <c r="C8" s="12"/>
      <c r="D8" s="12">
        <v>0</v>
      </c>
      <c r="E8" s="12"/>
      <c r="F8" s="12">
        <v>0</v>
      </c>
      <c r="G8" s="12">
        <v>0</v>
      </c>
      <c r="H8" s="12"/>
      <c r="I8" s="12">
        <v>0</v>
      </c>
      <c r="J8" s="12">
        <v>0</v>
      </c>
      <c r="K8" s="13">
        <f t="shared" si="0"/>
        <v>0</v>
      </c>
      <c r="L8" s="15">
        <f t="shared" si="1"/>
        <v>0</v>
      </c>
      <c r="M8" s="12">
        <v>0</v>
      </c>
      <c r="N8" s="16"/>
      <c r="O8" s="27">
        <v>0</v>
      </c>
      <c r="P8">
        <v>0</v>
      </c>
      <c r="R8">
        <v>0</v>
      </c>
      <c r="S8">
        <v>0</v>
      </c>
      <c r="U8">
        <v>0</v>
      </c>
    </row>
    <row r="9" spans="1:21">
      <c r="A9" s="6">
        <v>6</v>
      </c>
      <c r="B9" s="12">
        <v>973</v>
      </c>
      <c r="C9" s="12">
        <v>973</v>
      </c>
      <c r="D9" s="12">
        <v>973</v>
      </c>
      <c r="E9" s="12">
        <v>973</v>
      </c>
      <c r="F9" s="12">
        <v>0</v>
      </c>
      <c r="G9" s="12">
        <v>0</v>
      </c>
      <c r="H9" s="12"/>
      <c r="I9" s="12">
        <v>-19</v>
      </c>
      <c r="J9" s="12">
        <v>973</v>
      </c>
      <c r="K9" s="13">
        <f t="shared" si="0"/>
        <v>973</v>
      </c>
      <c r="L9" s="15">
        <f t="shared" si="1"/>
        <v>0</v>
      </c>
      <c r="M9" s="12">
        <v>0</v>
      </c>
      <c r="N9" s="17"/>
      <c r="O9" s="27">
        <v>-19</v>
      </c>
      <c r="P9">
        <v>973</v>
      </c>
      <c r="Q9">
        <v>973</v>
      </c>
      <c r="R9">
        <v>0</v>
      </c>
      <c r="S9">
        <v>0</v>
      </c>
      <c r="U9">
        <v>-19</v>
      </c>
    </row>
    <row r="10" spans="1:21">
      <c r="A10" s="6">
        <v>7</v>
      </c>
      <c r="B10" s="12">
        <v>0</v>
      </c>
      <c r="C10" s="12"/>
      <c r="D10" s="12">
        <v>0</v>
      </c>
      <c r="E10" s="12"/>
      <c r="F10" s="12">
        <v>0</v>
      </c>
      <c r="G10" s="12">
        <v>0</v>
      </c>
      <c r="H10" s="12"/>
      <c r="I10" s="12">
        <v>0</v>
      </c>
      <c r="J10" s="12">
        <v>0</v>
      </c>
      <c r="K10" s="13">
        <f t="shared" si="0"/>
        <v>0</v>
      </c>
      <c r="L10" s="15">
        <f t="shared" si="1"/>
        <v>0</v>
      </c>
      <c r="M10" s="12">
        <v>0</v>
      </c>
      <c r="N10" s="16"/>
      <c r="O10" s="27">
        <v>0</v>
      </c>
      <c r="P10">
        <v>0</v>
      </c>
      <c r="R10">
        <v>0</v>
      </c>
      <c r="S10">
        <v>0</v>
      </c>
      <c r="U10">
        <v>0</v>
      </c>
    </row>
    <row r="11" spans="1:21">
      <c r="A11" s="6">
        <v>8</v>
      </c>
      <c r="B11" s="12">
        <v>1622</v>
      </c>
      <c r="C11" s="12">
        <v>1625</v>
      </c>
      <c r="D11" s="12">
        <v>1622</v>
      </c>
      <c r="E11" s="12">
        <v>1625</v>
      </c>
      <c r="F11" s="12">
        <v>3</v>
      </c>
      <c r="G11" s="12">
        <v>6.24</v>
      </c>
      <c r="H11" s="12"/>
      <c r="I11" s="12">
        <v>1598.6</v>
      </c>
      <c r="J11" s="12">
        <v>1625</v>
      </c>
      <c r="K11" s="13">
        <v>1669</v>
      </c>
      <c r="L11" s="15">
        <f t="shared" si="1"/>
        <v>44</v>
      </c>
      <c r="M11" s="12">
        <v>91.52000000000001</v>
      </c>
      <c r="N11" s="14"/>
      <c r="O11" s="27">
        <v>1690.12</v>
      </c>
      <c r="P11">
        <v>1669</v>
      </c>
      <c r="Q11">
        <v>1694</v>
      </c>
      <c r="R11">
        <v>25</v>
      </c>
      <c r="S11">
        <v>52</v>
      </c>
      <c r="U11">
        <v>1742.12</v>
      </c>
    </row>
    <row r="12" spans="1:21">
      <c r="A12" s="6">
        <v>9</v>
      </c>
      <c r="B12" s="12">
        <v>0</v>
      </c>
      <c r="C12" s="12"/>
      <c r="D12" s="12">
        <v>0</v>
      </c>
      <c r="E12" s="12"/>
      <c r="F12" s="12">
        <v>0</v>
      </c>
      <c r="G12" s="12">
        <v>0</v>
      </c>
      <c r="H12" s="12"/>
      <c r="I12" s="12">
        <v>0</v>
      </c>
      <c r="J12" s="12">
        <v>0</v>
      </c>
      <c r="K12" s="13">
        <f t="shared" si="0"/>
        <v>0</v>
      </c>
      <c r="L12" s="15">
        <f t="shared" si="1"/>
        <v>0</v>
      </c>
      <c r="M12" s="12">
        <v>0</v>
      </c>
      <c r="N12" s="16"/>
      <c r="O12" s="27">
        <v>0</v>
      </c>
      <c r="P12">
        <v>0</v>
      </c>
      <c r="R12">
        <v>0</v>
      </c>
      <c r="S12">
        <v>0</v>
      </c>
      <c r="U12">
        <v>0</v>
      </c>
    </row>
    <row r="13" spans="1:21">
      <c r="A13" s="6">
        <v>10</v>
      </c>
      <c r="B13" s="12">
        <v>0</v>
      </c>
      <c r="C13" s="12"/>
      <c r="D13" s="12">
        <v>0</v>
      </c>
      <c r="E13" s="12"/>
      <c r="F13" s="12">
        <v>0</v>
      </c>
      <c r="G13" s="12">
        <v>0</v>
      </c>
      <c r="H13" s="12"/>
      <c r="I13" s="12">
        <v>0</v>
      </c>
      <c r="J13" s="12">
        <v>0</v>
      </c>
      <c r="K13" s="13">
        <f t="shared" si="0"/>
        <v>0</v>
      </c>
      <c r="L13" s="15">
        <f t="shared" si="1"/>
        <v>0</v>
      </c>
      <c r="M13" s="12">
        <v>0</v>
      </c>
      <c r="N13" s="16"/>
      <c r="O13" s="27">
        <v>0</v>
      </c>
      <c r="P13">
        <v>0</v>
      </c>
      <c r="R13">
        <v>0</v>
      </c>
      <c r="S13">
        <v>0</v>
      </c>
      <c r="U13">
        <v>0</v>
      </c>
    </row>
    <row r="14" spans="1:21">
      <c r="A14" s="6">
        <v>11</v>
      </c>
      <c r="B14" s="12">
        <v>0</v>
      </c>
      <c r="C14" s="12"/>
      <c r="D14" s="12">
        <v>0</v>
      </c>
      <c r="E14" s="12"/>
      <c r="F14" s="12">
        <v>0</v>
      </c>
      <c r="G14" s="12">
        <v>0</v>
      </c>
      <c r="H14" s="12"/>
      <c r="I14" s="12">
        <v>0</v>
      </c>
      <c r="J14" s="12">
        <v>0</v>
      </c>
      <c r="K14" s="13">
        <f t="shared" si="0"/>
        <v>0</v>
      </c>
      <c r="L14" s="15">
        <f t="shared" si="1"/>
        <v>0</v>
      </c>
      <c r="M14" s="12">
        <v>0</v>
      </c>
      <c r="N14" s="16"/>
      <c r="O14" s="27">
        <v>0</v>
      </c>
      <c r="P14">
        <v>0</v>
      </c>
      <c r="R14">
        <v>0</v>
      </c>
      <c r="S14">
        <v>0</v>
      </c>
      <c r="U14">
        <v>0</v>
      </c>
    </row>
    <row r="15" spans="1:21">
      <c r="A15" s="6">
        <v>12</v>
      </c>
      <c r="B15" s="12">
        <v>0</v>
      </c>
      <c r="C15" s="12"/>
      <c r="D15" s="12">
        <v>0</v>
      </c>
      <c r="E15" s="12"/>
      <c r="F15" s="12">
        <v>0</v>
      </c>
      <c r="G15" s="12">
        <v>0</v>
      </c>
      <c r="H15" s="12"/>
      <c r="I15" s="12">
        <v>0</v>
      </c>
      <c r="J15" s="12">
        <v>0</v>
      </c>
      <c r="K15" s="13">
        <f t="shared" si="0"/>
        <v>0</v>
      </c>
      <c r="L15" s="15">
        <f t="shared" si="1"/>
        <v>0</v>
      </c>
      <c r="M15" s="12">
        <v>0</v>
      </c>
      <c r="N15" s="16"/>
      <c r="O15" s="27">
        <v>0</v>
      </c>
      <c r="P15">
        <v>0</v>
      </c>
      <c r="R15">
        <v>0</v>
      </c>
      <c r="S15">
        <v>0</v>
      </c>
      <c r="U15">
        <v>0</v>
      </c>
    </row>
    <row r="16" spans="1:21">
      <c r="A16" s="6">
        <v>13</v>
      </c>
      <c r="B16" s="12">
        <v>278</v>
      </c>
      <c r="C16" s="12">
        <v>297</v>
      </c>
      <c r="D16" s="12">
        <v>278</v>
      </c>
      <c r="E16" s="12">
        <v>297</v>
      </c>
      <c r="F16" s="12">
        <v>19</v>
      </c>
      <c r="G16" s="12">
        <v>39.520000000000003</v>
      </c>
      <c r="H16" s="12"/>
      <c r="I16" s="12">
        <v>1518.68</v>
      </c>
      <c r="J16" s="12">
        <v>297</v>
      </c>
      <c r="K16" s="13">
        <v>435</v>
      </c>
      <c r="L16" s="15">
        <f t="shared" si="1"/>
        <v>138</v>
      </c>
      <c r="M16" s="12">
        <v>287.04000000000002</v>
      </c>
      <c r="N16" s="16"/>
      <c r="O16" s="27">
        <v>1805.72</v>
      </c>
      <c r="P16">
        <v>435</v>
      </c>
      <c r="Q16">
        <v>614</v>
      </c>
      <c r="R16">
        <v>179</v>
      </c>
      <c r="S16">
        <v>372.32</v>
      </c>
      <c r="U16">
        <v>2178.04</v>
      </c>
    </row>
    <row r="17" spans="1:21">
      <c r="A17" s="6">
        <v>14</v>
      </c>
      <c r="B17" s="12">
        <v>0</v>
      </c>
      <c r="C17" s="12"/>
      <c r="D17" s="12">
        <v>0</v>
      </c>
      <c r="E17" s="12"/>
      <c r="F17" s="12">
        <v>0</v>
      </c>
      <c r="G17" s="12">
        <v>0</v>
      </c>
      <c r="H17" s="12"/>
      <c r="I17" s="12">
        <v>0</v>
      </c>
      <c r="J17" s="12">
        <v>0</v>
      </c>
      <c r="K17" s="13">
        <f t="shared" si="0"/>
        <v>0</v>
      </c>
      <c r="L17" s="15">
        <f t="shared" si="1"/>
        <v>0</v>
      </c>
      <c r="M17" s="12">
        <v>0</v>
      </c>
      <c r="N17" s="16"/>
      <c r="O17" s="27">
        <v>0</v>
      </c>
      <c r="P17">
        <v>0</v>
      </c>
      <c r="R17">
        <v>0</v>
      </c>
      <c r="S17">
        <v>0</v>
      </c>
      <c r="U17">
        <v>0</v>
      </c>
    </row>
    <row r="18" spans="1:21">
      <c r="A18" s="6">
        <v>15</v>
      </c>
      <c r="B18" s="12">
        <v>0</v>
      </c>
      <c r="C18" s="12"/>
      <c r="D18" s="12">
        <v>0</v>
      </c>
      <c r="E18" s="12"/>
      <c r="F18" s="12">
        <v>0</v>
      </c>
      <c r="G18" s="12">
        <v>0</v>
      </c>
      <c r="H18" s="12"/>
      <c r="I18" s="12">
        <v>0</v>
      </c>
      <c r="J18" s="12">
        <v>0</v>
      </c>
      <c r="K18" s="13">
        <f t="shared" si="0"/>
        <v>0</v>
      </c>
      <c r="L18" s="15">
        <f t="shared" si="1"/>
        <v>0</v>
      </c>
      <c r="M18" s="12">
        <v>0</v>
      </c>
      <c r="N18" s="14"/>
      <c r="O18" s="27">
        <v>0</v>
      </c>
      <c r="P18">
        <v>0</v>
      </c>
      <c r="R18">
        <v>0</v>
      </c>
      <c r="S18">
        <v>0</v>
      </c>
      <c r="U18">
        <v>0</v>
      </c>
    </row>
    <row r="19" spans="1:21">
      <c r="A19" s="7">
        <v>16</v>
      </c>
      <c r="B19" s="12">
        <v>80502</v>
      </c>
      <c r="C19" s="12">
        <v>81500</v>
      </c>
      <c r="D19" s="12">
        <v>80502</v>
      </c>
      <c r="E19" s="12">
        <v>81500</v>
      </c>
      <c r="F19" s="12">
        <v>998</v>
      </c>
      <c r="G19" s="12">
        <v>2075.84</v>
      </c>
      <c r="H19" s="12"/>
      <c r="I19" s="12">
        <v>2389.34</v>
      </c>
      <c r="J19" s="12">
        <v>81500</v>
      </c>
      <c r="K19" s="13">
        <v>81775</v>
      </c>
      <c r="L19" s="15">
        <f t="shared" si="1"/>
        <v>275</v>
      </c>
      <c r="M19" s="12">
        <v>572</v>
      </c>
      <c r="N19" s="17">
        <v>400</v>
      </c>
      <c r="O19" s="27">
        <v>161.33999999999196</v>
      </c>
      <c r="P19">
        <v>81775</v>
      </c>
      <c r="Q19">
        <v>82047</v>
      </c>
      <c r="R19">
        <v>272</v>
      </c>
      <c r="S19">
        <v>565.76</v>
      </c>
      <c r="U19">
        <v>727.1</v>
      </c>
    </row>
    <row r="20" spans="1:21">
      <c r="A20" s="6">
        <v>17</v>
      </c>
      <c r="B20" s="12">
        <v>3936</v>
      </c>
      <c r="C20" s="12">
        <v>3936</v>
      </c>
      <c r="D20" s="12">
        <v>3936</v>
      </c>
      <c r="E20" s="12">
        <v>3936</v>
      </c>
      <c r="F20" s="12">
        <v>0</v>
      </c>
      <c r="G20" s="12">
        <v>0</v>
      </c>
      <c r="H20" s="12"/>
      <c r="I20" s="12">
        <v>-7.65</v>
      </c>
      <c r="J20" s="12">
        <v>3936</v>
      </c>
      <c r="K20" s="13">
        <f t="shared" si="0"/>
        <v>3936</v>
      </c>
      <c r="L20" s="15">
        <f t="shared" si="1"/>
        <v>0</v>
      </c>
      <c r="M20" s="12">
        <v>0</v>
      </c>
      <c r="N20" s="16"/>
      <c r="O20" s="27">
        <v>-7.6500000000000909</v>
      </c>
      <c r="P20">
        <v>3936</v>
      </c>
      <c r="Q20">
        <v>3936</v>
      </c>
      <c r="R20">
        <v>0</v>
      </c>
      <c r="S20">
        <v>0</v>
      </c>
      <c r="U20">
        <v>-7.65</v>
      </c>
    </row>
    <row r="21" spans="1:21">
      <c r="A21" s="6">
        <v>18</v>
      </c>
      <c r="B21" s="12">
        <v>0</v>
      </c>
      <c r="C21" s="12"/>
      <c r="D21" s="12">
        <v>0</v>
      </c>
      <c r="E21" s="12"/>
      <c r="F21" s="12">
        <v>0</v>
      </c>
      <c r="G21" s="12">
        <v>0</v>
      </c>
      <c r="H21" s="12"/>
      <c r="I21" s="12">
        <v>0</v>
      </c>
      <c r="J21" s="12">
        <v>0</v>
      </c>
      <c r="K21" s="13">
        <f>J21</f>
        <v>0</v>
      </c>
      <c r="L21" s="15">
        <f t="shared" si="1"/>
        <v>0</v>
      </c>
      <c r="M21" s="12">
        <v>0</v>
      </c>
      <c r="N21" s="16"/>
      <c r="O21" s="27">
        <v>0</v>
      </c>
      <c r="P21">
        <v>0</v>
      </c>
      <c r="R21">
        <v>0</v>
      </c>
      <c r="S21">
        <v>0</v>
      </c>
      <c r="U21">
        <v>0</v>
      </c>
    </row>
    <row r="22" spans="1:21">
      <c r="A22" s="6">
        <v>19</v>
      </c>
      <c r="B22" s="12">
        <v>0</v>
      </c>
      <c r="C22" s="12"/>
      <c r="D22" s="12">
        <v>0</v>
      </c>
      <c r="E22" s="12"/>
      <c r="F22" s="12">
        <v>0</v>
      </c>
      <c r="G22" s="12">
        <v>0</v>
      </c>
      <c r="H22" s="12"/>
      <c r="I22" s="12">
        <v>0</v>
      </c>
      <c r="J22" s="12">
        <v>0</v>
      </c>
      <c r="K22" s="13">
        <f t="shared" si="0"/>
        <v>0</v>
      </c>
      <c r="L22" s="15">
        <f t="shared" si="1"/>
        <v>0</v>
      </c>
      <c r="M22" s="12">
        <v>0</v>
      </c>
      <c r="N22" s="16"/>
      <c r="O22" s="27">
        <v>0</v>
      </c>
      <c r="P22">
        <v>0</v>
      </c>
      <c r="R22">
        <v>0</v>
      </c>
      <c r="S22">
        <v>0</v>
      </c>
      <c r="U22">
        <v>0</v>
      </c>
    </row>
    <row r="23" spans="1:21">
      <c r="A23" s="6">
        <v>20</v>
      </c>
      <c r="B23" s="12">
        <v>905</v>
      </c>
      <c r="C23" s="12">
        <v>905</v>
      </c>
      <c r="D23" s="12">
        <v>905</v>
      </c>
      <c r="E23" s="12">
        <v>905</v>
      </c>
      <c r="F23" s="12">
        <v>0</v>
      </c>
      <c r="G23" s="12">
        <v>0</v>
      </c>
      <c r="H23" s="12"/>
      <c r="I23" s="12">
        <v>787.7</v>
      </c>
      <c r="J23" s="12">
        <v>905</v>
      </c>
      <c r="K23" s="13">
        <f t="shared" si="0"/>
        <v>905</v>
      </c>
      <c r="L23" s="15">
        <f t="shared" si="1"/>
        <v>0</v>
      </c>
      <c r="M23" s="12">
        <v>0</v>
      </c>
      <c r="N23" s="17"/>
      <c r="O23" s="27">
        <v>787.69999999999993</v>
      </c>
      <c r="P23">
        <v>905</v>
      </c>
      <c r="Q23">
        <v>905</v>
      </c>
      <c r="R23">
        <v>0</v>
      </c>
      <c r="S23">
        <v>0</v>
      </c>
      <c r="U23">
        <v>787.7</v>
      </c>
    </row>
    <row r="24" spans="1:21">
      <c r="A24" s="6">
        <v>21</v>
      </c>
      <c r="B24" s="12">
        <v>0</v>
      </c>
      <c r="C24" s="12"/>
      <c r="D24" s="12">
        <v>0</v>
      </c>
      <c r="E24" s="12"/>
      <c r="F24" s="12">
        <v>0</v>
      </c>
      <c r="G24" s="12">
        <v>0</v>
      </c>
      <c r="H24" s="12"/>
      <c r="I24" s="12">
        <v>-27</v>
      </c>
      <c r="J24" s="12">
        <v>0</v>
      </c>
      <c r="K24" s="13">
        <f t="shared" si="0"/>
        <v>0</v>
      </c>
      <c r="L24" s="15">
        <f t="shared" si="1"/>
        <v>0</v>
      </c>
      <c r="M24" s="12">
        <v>0</v>
      </c>
      <c r="N24" s="16"/>
      <c r="O24" s="27">
        <v>-27.000000000000028</v>
      </c>
      <c r="P24">
        <v>0</v>
      </c>
      <c r="R24">
        <v>0</v>
      </c>
      <c r="S24">
        <v>0</v>
      </c>
      <c r="U24">
        <v>-27</v>
      </c>
    </row>
    <row r="25" spans="1:21">
      <c r="A25" s="6">
        <v>22</v>
      </c>
      <c r="B25" s="12">
        <v>0</v>
      </c>
      <c r="C25" s="12"/>
      <c r="D25" s="12">
        <v>0</v>
      </c>
      <c r="E25" s="12"/>
      <c r="F25" s="12">
        <v>0</v>
      </c>
      <c r="G25" s="12">
        <v>0</v>
      </c>
      <c r="H25" s="12"/>
      <c r="I25" s="12">
        <v>0</v>
      </c>
      <c r="J25" s="12">
        <v>0</v>
      </c>
      <c r="K25" s="13">
        <f t="shared" si="0"/>
        <v>0</v>
      </c>
      <c r="L25" s="15">
        <f t="shared" si="1"/>
        <v>0</v>
      </c>
      <c r="M25" s="12">
        <v>0</v>
      </c>
      <c r="N25" s="14"/>
      <c r="O25" s="27">
        <v>0</v>
      </c>
      <c r="P25">
        <v>0</v>
      </c>
      <c r="R25">
        <v>0</v>
      </c>
      <c r="S25">
        <v>0</v>
      </c>
      <c r="U25">
        <v>0</v>
      </c>
    </row>
    <row r="26" spans="1:21">
      <c r="A26" s="6">
        <v>23</v>
      </c>
      <c r="B26" s="12">
        <v>258</v>
      </c>
      <c r="C26" s="12">
        <v>258</v>
      </c>
      <c r="D26" s="12">
        <v>258</v>
      </c>
      <c r="E26" s="12">
        <v>258</v>
      </c>
      <c r="F26" s="12">
        <v>0</v>
      </c>
      <c r="G26" s="12">
        <v>0</v>
      </c>
      <c r="H26" s="12"/>
      <c r="I26" s="12">
        <v>497.94</v>
      </c>
      <c r="J26" s="12">
        <v>258</v>
      </c>
      <c r="K26" s="13">
        <f t="shared" si="0"/>
        <v>258</v>
      </c>
      <c r="L26" s="15">
        <f t="shared" si="1"/>
        <v>0</v>
      </c>
      <c r="M26" s="12">
        <v>0</v>
      </c>
      <c r="N26" s="16"/>
      <c r="O26" s="27">
        <v>497.94</v>
      </c>
      <c r="P26">
        <v>258</v>
      </c>
      <c r="Q26">
        <v>258</v>
      </c>
      <c r="R26">
        <v>0</v>
      </c>
      <c r="S26">
        <v>0</v>
      </c>
      <c r="U26">
        <v>497.94</v>
      </c>
    </row>
    <row r="27" spans="1:21">
      <c r="A27" s="6">
        <v>24</v>
      </c>
      <c r="B27" s="12">
        <v>0</v>
      </c>
      <c r="C27" s="12"/>
      <c r="D27" s="12">
        <v>0</v>
      </c>
      <c r="E27" s="12"/>
      <c r="F27" s="12">
        <v>0</v>
      </c>
      <c r="G27" s="12">
        <v>0</v>
      </c>
      <c r="H27" s="12"/>
      <c r="I27" s="12">
        <v>0</v>
      </c>
      <c r="J27" s="12">
        <v>0</v>
      </c>
      <c r="K27" s="13">
        <f t="shared" si="0"/>
        <v>0</v>
      </c>
      <c r="L27" s="15">
        <f t="shared" si="1"/>
        <v>0</v>
      </c>
      <c r="M27" s="12">
        <v>0</v>
      </c>
      <c r="N27" s="16"/>
      <c r="O27" s="27">
        <v>0</v>
      </c>
      <c r="P27">
        <v>0</v>
      </c>
      <c r="R27">
        <v>0</v>
      </c>
      <c r="S27">
        <v>0</v>
      </c>
      <c r="U27">
        <v>0</v>
      </c>
    </row>
    <row r="28" spans="1:21">
      <c r="A28" s="6">
        <v>25</v>
      </c>
      <c r="B28" s="12">
        <v>0</v>
      </c>
      <c r="C28" s="12"/>
      <c r="D28" s="12">
        <v>0</v>
      </c>
      <c r="E28" s="12"/>
      <c r="F28" s="12">
        <v>0</v>
      </c>
      <c r="G28" s="12">
        <v>0</v>
      </c>
      <c r="H28" s="12"/>
      <c r="I28" s="12">
        <v>0</v>
      </c>
      <c r="J28" s="12">
        <v>0</v>
      </c>
      <c r="K28" s="13">
        <f t="shared" si="0"/>
        <v>0</v>
      </c>
      <c r="L28" s="15">
        <f t="shared" si="1"/>
        <v>0</v>
      </c>
      <c r="M28" s="12">
        <v>0</v>
      </c>
      <c r="N28" s="16"/>
      <c r="O28" s="27">
        <v>0</v>
      </c>
      <c r="P28">
        <v>0</v>
      </c>
      <c r="R28">
        <v>0</v>
      </c>
      <c r="S28">
        <v>0</v>
      </c>
      <c r="U28">
        <v>0</v>
      </c>
    </row>
    <row r="29" spans="1:21">
      <c r="A29" s="6">
        <v>26</v>
      </c>
      <c r="B29" s="12">
        <v>0</v>
      </c>
      <c r="C29" s="12"/>
      <c r="D29" s="12">
        <v>0</v>
      </c>
      <c r="E29" s="12"/>
      <c r="F29" s="12">
        <v>0</v>
      </c>
      <c r="G29" s="12">
        <v>0</v>
      </c>
      <c r="H29" s="12"/>
      <c r="I29" s="12">
        <v>0</v>
      </c>
      <c r="J29" s="12">
        <v>0</v>
      </c>
      <c r="K29" s="13">
        <f t="shared" si="0"/>
        <v>0</v>
      </c>
      <c r="L29" s="15">
        <f t="shared" si="1"/>
        <v>0</v>
      </c>
      <c r="M29" s="12">
        <v>0</v>
      </c>
      <c r="N29" s="16"/>
      <c r="O29" s="27">
        <v>0</v>
      </c>
      <c r="P29">
        <v>0</v>
      </c>
      <c r="R29">
        <v>0</v>
      </c>
      <c r="S29">
        <v>0</v>
      </c>
      <c r="U29">
        <v>0</v>
      </c>
    </row>
    <row r="30" spans="1:21">
      <c r="A30" s="6">
        <v>27</v>
      </c>
      <c r="B30" s="12">
        <v>0</v>
      </c>
      <c r="C30" s="12"/>
      <c r="D30" s="12">
        <v>0</v>
      </c>
      <c r="E30" s="12"/>
      <c r="F30" s="12">
        <v>0</v>
      </c>
      <c r="G30" s="12">
        <v>0</v>
      </c>
      <c r="H30" s="12"/>
      <c r="I30" s="12">
        <v>0</v>
      </c>
      <c r="J30" s="12">
        <v>0</v>
      </c>
      <c r="K30" s="13">
        <f t="shared" si="0"/>
        <v>0</v>
      </c>
      <c r="L30" s="15">
        <f t="shared" si="1"/>
        <v>0</v>
      </c>
      <c r="M30" s="12">
        <v>0</v>
      </c>
      <c r="N30" s="16"/>
      <c r="O30" s="27">
        <v>0</v>
      </c>
      <c r="P30">
        <v>0</v>
      </c>
      <c r="R30">
        <v>0</v>
      </c>
      <c r="S30">
        <v>0</v>
      </c>
      <c r="U30">
        <v>0</v>
      </c>
    </row>
    <row r="31" spans="1:21">
      <c r="A31" s="6">
        <v>28</v>
      </c>
      <c r="B31" s="12">
        <v>0</v>
      </c>
      <c r="C31" s="12"/>
      <c r="D31" s="12">
        <v>0</v>
      </c>
      <c r="E31" s="12"/>
      <c r="F31" s="12">
        <v>0</v>
      </c>
      <c r="G31" s="12">
        <v>0</v>
      </c>
      <c r="H31" s="12"/>
      <c r="I31" s="12">
        <v>0</v>
      </c>
      <c r="J31" s="12">
        <v>0</v>
      </c>
      <c r="K31" s="13">
        <f t="shared" si="0"/>
        <v>0</v>
      </c>
      <c r="L31" s="15">
        <f t="shared" si="1"/>
        <v>0</v>
      </c>
      <c r="M31" s="12">
        <v>0</v>
      </c>
      <c r="N31" s="16"/>
      <c r="O31" s="27">
        <v>0</v>
      </c>
      <c r="P31">
        <v>0</v>
      </c>
      <c r="R31">
        <v>0</v>
      </c>
      <c r="S31">
        <v>0</v>
      </c>
      <c r="U31">
        <v>0</v>
      </c>
    </row>
    <row r="32" spans="1:21">
      <c r="A32" s="6">
        <v>29</v>
      </c>
      <c r="B32" s="12">
        <v>0</v>
      </c>
      <c r="C32" s="12"/>
      <c r="D32" s="12">
        <v>0</v>
      </c>
      <c r="E32" s="12"/>
      <c r="F32" s="12">
        <v>0</v>
      </c>
      <c r="G32" s="12">
        <v>0</v>
      </c>
      <c r="H32" s="12"/>
      <c r="I32" s="12">
        <v>0</v>
      </c>
      <c r="J32" s="12">
        <v>0</v>
      </c>
      <c r="K32" s="13">
        <f t="shared" si="0"/>
        <v>0</v>
      </c>
      <c r="L32" s="15">
        <f t="shared" si="1"/>
        <v>0</v>
      </c>
      <c r="M32" s="12">
        <v>0</v>
      </c>
      <c r="N32" s="14"/>
      <c r="O32" s="27">
        <v>0</v>
      </c>
      <c r="P32">
        <v>0</v>
      </c>
      <c r="R32">
        <v>0</v>
      </c>
      <c r="S32">
        <v>0</v>
      </c>
      <c r="U32">
        <v>0</v>
      </c>
    </row>
    <row r="33" spans="1:21">
      <c r="A33" s="6">
        <v>30</v>
      </c>
      <c r="B33" s="12">
        <v>0</v>
      </c>
      <c r="C33" s="12"/>
      <c r="D33" s="12">
        <v>0</v>
      </c>
      <c r="E33" s="12"/>
      <c r="F33" s="12">
        <v>0</v>
      </c>
      <c r="G33" s="12">
        <v>0</v>
      </c>
      <c r="H33" s="12"/>
      <c r="I33" s="12">
        <v>0</v>
      </c>
      <c r="J33" s="12">
        <v>0</v>
      </c>
      <c r="K33" s="13">
        <f t="shared" si="0"/>
        <v>0</v>
      </c>
      <c r="L33" s="15">
        <f t="shared" si="1"/>
        <v>0</v>
      </c>
      <c r="M33" s="12">
        <v>0</v>
      </c>
      <c r="N33" s="16"/>
      <c r="O33" s="27">
        <v>0</v>
      </c>
      <c r="P33">
        <v>0</v>
      </c>
      <c r="R33">
        <v>0</v>
      </c>
      <c r="S33">
        <v>0</v>
      </c>
      <c r="U33">
        <v>0</v>
      </c>
    </row>
    <row r="34" spans="1:21">
      <c r="A34" s="6">
        <v>31</v>
      </c>
      <c r="B34" s="12">
        <v>63</v>
      </c>
      <c r="C34" s="12">
        <v>63</v>
      </c>
      <c r="D34" s="12">
        <v>63</v>
      </c>
      <c r="E34" s="12">
        <v>63</v>
      </c>
      <c r="F34" s="12">
        <v>0</v>
      </c>
      <c r="G34" s="12">
        <v>0</v>
      </c>
      <c r="H34" s="12"/>
      <c r="I34" s="12">
        <v>670.17</v>
      </c>
      <c r="J34" s="12">
        <v>63</v>
      </c>
      <c r="K34" s="13">
        <f t="shared" si="0"/>
        <v>63</v>
      </c>
      <c r="L34" s="15">
        <f t="shared" si="1"/>
        <v>0</v>
      </c>
      <c r="M34" s="12">
        <v>0</v>
      </c>
      <c r="N34" s="16"/>
      <c r="O34" s="27">
        <v>670.17</v>
      </c>
      <c r="P34">
        <v>63</v>
      </c>
      <c r="Q34">
        <v>63</v>
      </c>
      <c r="R34">
        <v>0</v>
      </c>
      <c r="S34">
        <v>0</v>
      </c>
      <c r="U34">
        <v>670.17</v>
      </c>
    </row>
    <row r="35" spans="1:21">
      <c r="A35" s="6">
        <v>32</v>
      </c>
      <c r="B35" s="12">
        <v>1846</v>
      </c>
      <c r="C35" s="12">
        <v>2330</v>
      </c>
      <c r="D35" s="12">
        <v>1846</v>
      </c>
      <c r="E35" s="12">
        <v>2330</v>
      </c>
      <c r="F35" s="12">
        <v>484</v>
      </c>
      <c r="G35" s="12">
        <v>1006.72</v>
      </c>
      <c r="H35" s="12"/>
      <c r="I35" s="12">
        <v>3805.1</v>
      </c>
      <c r="J35" s="12">
        <v>2330</v>
      </c>
      <c r="K35" s="13">
        <v>2769</v>
      </c>
      <c r="L35" s="15">
        <f t="shared" si="1"/>
        <v>439</v>
      </c>
      <c r="M35" s="12">
        <v>913.12</v>
      </c>
      <c r="N35" s="16"/>
      <c r="O35" s="27">
        <v>4718.22</v>
      </c>
      <c r="P35">
        <v>2769</v>
      </c>
      <c r="Q35">
        <v>3003</v>
      </c>
      <c r="R35">
        <v>234</v>
      </c>
      <c r="S35">
        <v>486.72</v>
      </c>
      <c r="U35">
        <v>5204.9399999999996</v>
      </c>
    </row>
    <row r="36" spans="1:21">
      <c r="A36" s="6">
        <v>33</v>
      </c>
      <c r="B36" s="12">
        <v>645</v>
      </c>
      <c r="C36" s="12">
        <v>645</v>
      </c>
      <c r="D36" s="12">
        <v>645</v>
      </c>
      <c r="E36" s="12">
        <v>645</v>
      </c>
      <c r="F36" s="12">
        <v>0</v>
      </c>
      <c r="G36" s="12">
        <v>0</v>
      </c>
      <c r="H36" s="12"/>
      <c r="I36" s="12">
        <v>-178.15</v>
      </c>
      <c r="J36" s="12">
        <v>645</v>
      </c>
      <c r="K36" s="13">
        <f t="shared" si="0"/>
        <v>645</v>
      </c>
      <c r="L36" s="15">
        <f t="shared" si="1"/>
        <v>0</v>
      </c>
      <c r="M36" s="12">
        <v>0</v>
      </c>
      <c r="N36" s="16"/>
      <c r="O36" s="27">
        <v>-178.15000000000009</v>
      </c>
      <c r="P36">
        <v>645</v>
      </c>
      <c r="Q36">
        <v>646</v>
      </c>
      <c r="R36">
        <v>1</v>
      </c>
      <c r="S36">
        <v>2.08</v>
      </c>
      <c r="U36">
        <v>-176.07</v>
      </c>
    </row>
    <row r="37" spans="1:21">
      <c r="A37" s="7">
        <v>34</v>
      </c>
      <c r="B37" s="12">
        <v>0</v>
      </c>
      <c r="C37" s="12"/>
      <c r="D37" s="12">
        <v>0</v>
      </c>
      <c r="E37" s="12"/>
      <c r="F37" s="12">
        <v>0</v>
      </c>
      <c r="G37" s="12">
        <v>0</v>
      </c>
      <c r="H37" s="12"/>
      <c r="I37" s="12">
        <v>0</v>
      </c>
      <c r="J37" s="12">
        <v>0</v>
      </c>
      <c r="K37" s="13">
        <f t="shared" si="0"/>
        <v>0</v>
      </c>
      <c r="L37" s="15">
        <f t="shared" si="1"/>
        <v>0</v>
      </c>
      <c r="M37" s="12">
        <v>0</v>
      </c>
      <c r="N37" s="16"/>
      <c r="O37" s="27">
        <v>0</v>
      </c>
      <c r="P37">
        <v>0</v>
      </c>
      <c r="R37">
        <v>0</v>
      </c>
      <c r="S37">
        <v>0</v>
      </c>
      <c r="U37">
        <v>0</v>
      </c>
    </row>
    <row r="38" spans="1:21">
      <c r="A38" s="6">
        <v>35</v>
      </c>
      <c r="B38" s="12">
        <v>2868</v>
      </c>
      <c r="C38" s="12">
        <v>3030</v>
      </c>
      <c r="D38" s="12">
        <v>2868</v>
      </c>
      <c r="E38" s="12">
        <v>3030</v>
      </c>
      <c r="F38" s="12">
        <v>162</v>
      </c>
      <c r="G38" s="12">
        <v>336.96</v>
      </c>
      <c r="H38" s="12"/>
      <c r="I38" s="12">
        <v>251.92</v>
      </c>
      <c r="J38" s="12">
        <v>3030</v>
      </c>
      <c r="K38" s="13">
        <v>3170</v>
      </c>
      <c r="L38" s="15">
        <f t="shared" si="1"/>
        <v>140</v>
      </c>
      <c r="M38" s="12">
        <v>291.2</v>
      </c>
      <c r="N38" s="16"/>
      <c r="O38" s="27">
        <v>543.11999999999989</v>
      </c>
      <c r="P38">
        <v>3170</v>
      </c>
      <c r="Q38">
        <v>3297</v>
      </c>
      <c r="R38">
        <v>127</v>
      </c>
      <c r="S38">
        <v>264.16000000000003</v>
      </c>
      <c r="U38">
        <v>807.28</v>
      </c>
    </row>
    <row r="39" spans="1:21">
      <c r="A39" s="6">
        <v>36</v>
      </c>
      <c r="B39" s="12">
        <v>0</v>
      </c>
      <c r="C39" s="12"/>
      <c r="D39" s="12">
        <v>0</v>
      </c>
      <c r="E39" s="12"/>
      <c r="F39" s="12">
        <v>0</v>
      </c>
      <c r="G39" s="12">
        <v>0</v>
      </c>
      <c r="H39" s="12"/>
      <c r="I39" s="12">
        <v>0</v>
      </c>
      <c r="J39" s="12">
        <v>0</v>
      </c>
      <c r="K39" s="13">
        <f t="shared" si="0"/>
        <v>0</v>
      </c>
      <c r="L39" s="15">
        <f t="shared" si="1"/>
        <v>0</v>
      </c>
      <c r="M39" s="12">
        <v>0</v>
      </c>
      <c r="N39" s="14"/>
      <c r="O39" s="27">
        <v>0</v>
      </c>
      <c r="P39">
        <v>0</v>
      </c>
      <c r="R39">
        <v>0</v>
      </c>
      <c r="S39">
        <v>0</v>
      </c>
      <c r="U39">
        <v>0</v>
      </c>
    </row>
    <row r="40" spans="1:21">
      <c r="A40" s="6">
        <v>37</v>
      </c>
      <c r="B40" s="12">
        <v>0</v>
      </c>
      <c r="C40" s="12"/>
      <c r="D40" s="12">
        <v>0</v>
      </c>
      <c r="E40" s="12"/>
      <c r="F40" s="12">
        <v>0</v>
      </c>
      <c r="G40" s="12">
        <v>0</v>
      </c>
      <c r="H40" s="12"/>
      <c r="I40" s="12">
        <v>0</v>
      </c>
      <c r="J40" s="12">
        <v>0</v>
      </c>
      <c r="K40" s="13">
        <f t="shared" si="0"/>
        <v>0</v>
      </c>
      <c r="L40" s="15">
        <f t="shared" si="1"/>
        <v>0</v>
      </c>
      <c r="M40" s="12">
        <v>0</v>
      </c>
      <c r="N40" s="16"/>
      <c r="O40" s="27">
        <v>0</v>
      </c>
      <c r="P40">
        <v>0</v>
      </c>
      <c r="R40">
        <v>0</v>
      </c>
      <c r="S40">
        <v>0</v>
      </c>
      <c r="U40">
        <v>0</v>
      </c>
    </row>
    <row r="41" spans="1:21">
      <c r="A41" s="6">
        <v>38</v>
      </c>
      <c r="B41" s="12">
        <v>0</v>
      </c>
      <c r="C41" s="12">
        <v>9</v>
      </c>
      <c r="D41" s="12">
        <v>0</v>
      </c>
      <c r="E41" s="12">
        <v>9</v>
      </c>
      <c r="F41" s="12">
        <v>9</v>
      </c>
      <c r="G41" s="12">
        <v>18.72</v>
      </c>
      <c r="H41" s="12"/>
      <c r="I41" s="12">
        <v>18.72</v>
      </c>
      <c r="J41" s="12">
        <v>9</v>
      </c>
      <c r="K41" s="13">
        <f t="shared" si="0"/>
        <v>9</v>
      </c>
      <c r="L41" s="15">
        <f t="shared" si="1"/>
        <v>0</v>
      </c>
      <c r="M41" s="12">
        <v>0</v>
      </c>
      <c r="N41" s="16"/>
      <c r="O41" s="27">
        <v>18.72</v>
      </c>
      <c r="P41">
        <v>9</v>
      </c>
      <c r="Q41">
        <v>9</v>
      </c>
      <c r="R41">
        <v>0</v>
      </c>
      <c r="S41">
        <v>0</v>
      </c>
      <c r="U41">
        <v>18.72</v>
      </c>
    </row>
    <row r="42" spans="1:21">
      <c r="A42" s="6">
        <v>39</v>
      </c>
      <c r="B42" s="12">
        <v>42</v>
      </c>
      <c r="C42" s="12">
        <v>42</v>
      </c>
      <c r="D42" s="12">
        <v>42</v>
      </c>
      <c r="E42" s="12">
        <v>42</v>
      </c>
      <c r="F42" s="12">
        <v>0</v>
      </c>
      <c r="G42" s="12">
        <v>0</v>
      </c>
      <c r="H42" s="12"/>
      <c r="I42" s="12">
        <v>82.11</v>
      </c>
      <c r="J42" s="12">
        <v>42</v>
      </c>
      <c r="K42" s="13">
        <f t="shared" si="0"/>
        <v>42</v>
      </c>
      <c r="L42" s="15">
        <f t="shared" si="1"/>
        <v>0</v>
      </c>
      <c r="M42" s="12">
        <v>0</v>
      </c>
      <c r="N42" s="16"/>
      <c r="O42" s="27">
        <v>82.11</v>
      </c>
      <c r="P42">
        <v>42</v>
      </c>
      <c r="Q42">
        <v>42</v>
      </c>
      <c r="R42">
        <v>0</v>
      </c>
      <c r="S42">
        <v>0</v>
      </c>
      <c r="U42">
        <v>82.11</v>
      </c>
    </row>
    <row r="43" spans="1:21">
      <c r="A43" s="6">
        <v>40</v>
      </c>
      <c r="B43" s="12">
        <v>0</v>
      </c>
      <c r="C43" s="12"/>
      <c r="D43" s="12">
        <v>0</v>
      </c>
      <c r="E43" s="12"/>
      <c r="F43" s="12">
        <v>0</v>
      </c>
      <c r="G43" s="12">
        <v>0</v>
      </c>
      <c r="H43" s="12"/>
      <c r="I43" s="12">
        <v>0</v>
      </c>
      <c r="J43" s="12">
        <v>0</v>
      </c>
      <c r="K43" s="13">
        <f t="shared" si="0"/>
        <v>0</v>
      </c>
      <c r="L43" s="15">
        <f t="shared" si="1"/>
        <v>0</v>
      </c>
      <c r="M43" s="12">
        <v>0</v>
      </c>
      <c r="N43" s="16"/>
      <c r="O43" s="27">
        <v>0</v>
      </c>
      <c r="P43">
        <v>0</v>
      </c>
      <c r="R43">
        <v>0</v>
      </c>
      <c r="S43">
        <v>0</v>
      </c>
      <c r="U43">
        <v>0</v>
      </c>
    </row>
    <row r="44" spans="1:21">
      <c r="A44" s="6">
        <v>41</v>
      </c>
      <c r="B44" s="12">
        <v>60918</v>
      </c>
      <c r="C44" s="12">
        <v>63955</v>
      </c>
      <c r="D44" s="12">
        <v>60918</v>
      </c>
      <c r="E44" s="12">
        <v>63955</v>
      </c>
      <c r="F44" s="12">
        <v>3037</v>
      </c>
      <c r="G44" s="12">
        <v>6316.96</v>
      </c>
      <c r="H44" s="12"/>
      <c r="I44" s="12">
        <v>6484.9</v>
      </c>
      <c r="J44" s="12">
        <v>63955</v>
      </c>
      <c r="K44" s="13">
        <v>65920</v>
      </c>
      <c r="L44" s="15">
        <f t="shared" si="1"/>
        <v>1965</v>
      </c>
      <c r="M44" s="12">
        <v>4087.2000000000003</v>
      </c>
      <c r="N44" s="17">
        <f>3000+4000</f>
        <v>7000</v>
      </c>
      <c r="O44" s="27">
        <v>1572.0999999999985</v>
      </c>
      <c r="P44">
        <v>65920</v>
      </c>
      <c r="Q44">
        <v>67138</v>
      </c>
      <c r="R44">
        <v>1218</v>
      </c>
      <c r="S44">
        <v>2533.44</v>
      </c>
      <c r="U44">
        <v>4105.54</v>
      </c>
    </row>
    <row r="45" spans="1:21">
      <c r="A45" s="6">
        <v>42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/>
      <c r="I45" s="12">
        <v>0</v>
      </c>
      <c r="J45" s="12">
        <v>0</v>
      </c>
      <c r="K45" s="13">
        <f t="shared" si="0"/>
        <v>0</v>
      </c>
      <c r="L45" s="15">
        <f t="shared" si="1"/>
        <v>0</v>
      </c>
      <c r="M45" s="12">
        <v>0</v>
      </c>
      <c r="N45" s="16"/>
      <c r="O45" s="27">
        <v>0</v>
      </c>
      <c r="P45">
        <v>0</v>
      </c>
      <c r="R45">
        <v>0</v>
      </c>
      <c r="S45">
        <v>0</v>
      </c>
      <c r="U45">
        <v>0</v>
      </c>
    </row>
    <row r="46" spans="1:21">
      <c r="A46" s="6">
        <v>43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/>
      <c r="I46" s="12">
        <v>0</v>
      </c>
      <c r="J46" s="12">
        <v>0</v>
      </c>
      <c r="K46" s="13">
        <f t="shared" si="0"/>
        <v>0</v>
      </c>
      <c r="L46" s="15">
        <f t="shared" si="1"/>
        <v>0</v>
      </c>
      <c r="M46" s="12">
        <v>0</v>
      </c>
      <c r="N46" s="14"/>
      <c r="O46" s="27">
        <v>0</v>
      </c>
      <c r="P46">
        <v>0</v>
      </c>
      <c r="R46">
        <v>0</v>
      </c>
      <c r="S46">
        <v>0</v>
      </c>
      <c r="U46">
        <v>0</v>
      </c>
    </row>
    <row r="47" spans="1:21">
      <c r="A47" s="6">
        <v>44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/>
      <c r="I47" s="12">
        <v>0</v>
      </c>
      <c r="J47" s="12">
        <v>0</v>
      </c>
      <c r="K47" s="13">
        <f>J47</f>
        <v>0</v>
      </c>
      <c r="L47" s="15">
        <f t="shared" si="1"/>
        <v>0</v>
      </c>
      <c r="M47" s="12">
        <v>0</v>
      </c>
      <c r="N47" s="16"/>
      <c r="O47" s="27">
        <v>0</v>
      </c>
      <c r="P47">
        <v>0</v>
      </c>
      <c r="R47">
        <v>0</v>
      </c>
      <c r="S47">
        <v>0</v>
      </c>
      <c r="U47">
        <v>0</v>
      </c>
    </row>
    <row r="48" spans="1:21">
      <c r="A48" s="6">
        <v>45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/>
      <c r="I48" s="12">
        <v>0</v>
      </c>
      <c r="J48" s="12">
        <v>0</v>
      </c>
      <c r="K48" s="13">
        <f t="shared" si="0"/>
        <v>0</v>
      </c>
      <c r="L48" s="15">
        <f t="shared" si="1"/>
        <v>0</v>
      </c>
      <c r="M48" s="12">
        <v>0</v>
      </c>
      <c r="N48" s="16"/>
      <c r="O48" s="27">
        <v>0</v>
      </c>
      <c r="P48">
        <v>0</v>
      </c>
      <c r="R48">
        <v>0</v>
      </c>
      <c r="S48">
        <v>0</v>
      </c>
      <c r="U48">
        <v>0</v>
      </c>
    </row>
    <row r="49" spans="1:21">
      <c r="A49" s="6">
        <v>46</v>
      </c>
      <c r="B49" s="12">
        <v>17993</v>
      </c>
      <c r="C49" s="12">
        <v>18137</v>
      </c>
      <c r="D49" s="12">
        <v>17993</v>
      </c>
      <c r="E49" s="12">
        <v>18137</v>
      </c>
      <c r="F49" s="12">
        <v>144</v>
      </c>
      <c r="G49" s="12">
        <v>299.52</v>
      </c>
      <c r="H49" s="12"/>
      <c r="I49" s="12">
        <v>-4425.7700000000004</v>
      </c>
      <c r="J49" s="12">
        <v>18137</v>
      </c>
      <c r="K49" s="13">
        <v>18489</v>
      </c>
      <c r="L49" s="15">
        <f t="shared" si="1"/>
        <v>352</v>
      </c>
      <c r="M49" s="12">
        <v>732.16000000000008</v>
      </c>
      <c r="N49" s="16"/>
      <c r="O49" s="27">
        <v>-3693.6099999999988</v>
      </c>
      <c r="P49">
        <v>18489</v>
      </c>
      <c r="Q49">
        <v>18678</v>
      </c>
      <c r="R49">
        <v>189</v>
      </c>
      <c r="S49">
        <v>393.12</v>
      </c>
      <c r="U49">
        <v>-3300.49</v>
      </c>
    </row>
    <row r="50" spans="1:21">
      <c r="A50" s="6">
        <v>47</v>
      </c>
      <c r="B50" s="12">
        <v>4581</v>
      </c>
      <c r="C50" s="12">
        <v>4581</v>
      </c>
      <c r="D50" s="12">
        <v>4581</v>
      </c>
      <c r="E50" s="12">
        <v>4581</v>
      </c>
      <c r="F50" s="12">
        <v>0</v>
      </c>
      <c r="G50" s="12">
        <v>0</v>
      </c>
      <c r="H50" s="12"/>
      <c r="I50" s="12">
        <v>-586.22</v>
      </c>
      <c r="J50" s="12">
        <v>4581</v>
      </c>
      <c r="K50" s="13">
        <f t="shared" si="0"/>
        <v>4581</v>
      </c>
      <c r="L50" s="15">
        <f t="shared" si="1"/>
        <v>0</v>
      </c>
      <c r="M50" s="12">
        <v>0</v>
      </c>
      <c r="N50" s="16"/>
      <c r="O50" s="27">
        <v>-586.21999999999935</v>
      </c>
      <c r="P50">
        <v>4581</v>
      </c>
      <c r="Q50">
        <v>4581</v>
      </c>
      <c r="R50">
        <v>0</v>
      </c>
      <c r="S50">
        <v>0</v>
      </c>
      <c r="U50">
        <v>-586.22</v>
      </c>
    </row>
    <row r="51" spans="1:21">
      <c r="A51" s="6">
        <v>48</v>
      </c>
      <c r="B51" s="12">
        <v>8303</v>
      </c>
      <c r="C51" s="12">
        <v>8383</v>
      </c>
      <c r="D51" s="12">
        <v>8303</v>
      </c>
      <c r="E51" s="12">
        <v>8383</v>
      </c>
      <c r="F51" s="12">
        <v>80</v>
      </c>
      <c r="G51" s="12">
        <v>166.4</v>
      </c>
      <c r="H51" s="12"/>
      <c r="I51" s="12">
        <v>492.17</v>
      </c>
      <c r="J51" s="12">
        <v>8383</v>
      </c>
      <c r="K51" s="13">
        <v>8489</v>
      </c>
      <c r="L51" s="15">
        <f t="shared" si="1"/>
        <v>106</v>
      </c>
      <c r="M51" s="12">
        <v>220.48000000000002</v>
      </c>
      <c r="N51" s="16"/>
      <c r="O51" s="27">
        <v>712.65000000000055</v>
      </c>
      <c r="P51">
        <v>8489</v>
      </c>
      <c r="Q51">
        <v>8576</v>
      </c>
      <c r="R51">
        <v>87</v>
      </c>
      <c r="S51">
        <v>180.96</v>
      </c>
      <c r="U51">
        <v>893.61</v>
      </c>
    </row>
    <row r="52" spans="1:21">
      <c r="A52" s="6">
        <v>49</v>
      </c>
      <c r="B52" s="12">
        <v>0</v>
      </c>
      <c r="C52" s="12"/>
      <c r="D52" s="12">
        <v>0</v>
      </c>
      <c r="E52" s="12"/>
      <c r="F52" s="12">
        <v>0</v>
      </c>
      <c r="G52" s="12">
        <v>0</v>
      </c>
      <c r="H52" s="12"/>
      <c r="I52" s="12">
        <v>0</v>
      </c>
      <c r="J52" s="12">
        <v>0</v>
      </c>
      <c r="K52" s="13">
        <f t="shared" si="0"/>
        <v>0</v>
      </c>
      <c r="L52" s="15">
        <f t="shared" si="1"/>
        <v>0</v>
      </c>
      <c r="M52" s="12">
        <v>0</v>
      </c>
      <c r="N52" s="16"/>
      <c r="O52" s="27">
        <v>0</v>
      </c>
      <c r="P52">
        <v>0</v>
      </c>
      <c r="R52">
        <v>0</v>
      </c>
      <c r="S52">
        <v>0</v>
      </c>
      <c r="U52">
        <v>0</v>
      </c>
    </row>
    <row r="53" spans="1:21">
      <c r="A53" s="6">
        <v>50</v>
      </c>
      <c r="B53" s="12">
        <v>18079</v>
      </c>
      <c r="C53" s="12">
        <v>18397</v>
      </c>
      <c r="D53" s="12">
        <v>18079</v>
      </c>
      <c r="E53" s="12">
        <v>18397</v>
      </c>
      <c r="F53" s="12">
        <v>318</v>
      </c>
      <c r="G53" s="12">
        <v>661.44</v>
      </c>
      <c r="H53" s="12">
        <v>250</v>
      </c>
      <c r="I53" s="12">
        <v>657.28</v>
      </c>
      <c r="J53" s="12">
        <v>18397</v>
      </c>
      <c r="K53" s="13">
        <v>18717</v>
      </c>
      <c r="L53" s="15">
        <f t="shared" si="1"/>
        <v>320</v>
      </c>
      <c r="M53" s="12">
        <v>665.6</v>
      </c>
      <c r="N53" s="18">
        <v>611.52</v>
      </c>
      <c r="O53" s="27">
        <v>711.36000000000013</v>
      </c>
      <c r="P53">
        <v>18717</v>
      </c>
      <c r="Q53">
        <v>19008</v>
      </c>
      <c r="R53">
        <v>291</v>
      </c>
      <c r="S53">
        <v>605.28</v>
      </c>
      <c r="T53">
        <v>549.12</v>
      </c>
      <c r="U53">
        <v>-56.16</v>
      </c>
    </row>
    <row r="54" spans="1:21">
      <c r="A54" s="6">
        <v>51</v>
      </c>
      <c r="B54" s="12">
        <v>51091</v>
      </c>
      <c r="C54" s="12">
        <v>54042</v>
      </c>
      <c r="D54" s="12">
        <v>51091</v>
      </c>
      <c r="E54" s="12">
        <v>54042</v>
      </c>
      <c r="F54" s="12">
        <v>2951</v>
      </c>
      <c r="G54" s="12">
        <v>6138.08</v>
      </c>
      <c r="H54" s="12">
        <v>5700</v>
      </c>
      <c r="I54" s="12">
        <v>7685.56</v>
      </c>
      <c r="J54" s="12">
        <v>54042</v>
      </c>
      <c r="K54" s="13">
        <v>56018</v>
      </c>
      <c r="L54" s="15">
        <f t="shared" si="1"/>
        <v>1976</v>
      </c>
      <c r="M54" s="12">
        <v>4110.08</v>
      </c>
      <c r="N54" s="16"/>
      <c r="O54" s="27">
        <v>11795.64</v>
      </c>
      <c r="P54">
        <v>56018</v>
      </c>
      <c r="Q54">
        <v>57501</v>
      </c>
      <c r="R54">
        <v>1483</v>
      </c>
      <c r="S54">
        <v>3084.64</v>
      </c>
      <c r="U54">
        <v>14880.28</v>
      </c>
    </row>
    <row r="55" spans="1:21">
      <c r="A55" s="6">
        <v>52</v>
      </c>
      <c r="B55" s="12">
        <v>0</v>
      </c>
      <c r="C55" s="12"/>
      <c r="D55" s="12">
        <v>0</v>
      </c>
      <c r="E55" s="12"/>
      <c r="F55" s="12">
        <v>0</v>
      </c>
      <c r="G55" s="12">
        <v>0</v>
      </c>
      <c r="H55" s="12"/>
      <c r="I55" s="12">
        <v>0</v>
      </c>
      <c r="J55" s="12">
        <v>0</v>
      </c>
      <c r="K55" s="13">
        <f t="shared" si="0"/>
        <v>0</v>
      </c>
      <c r="L55" s="15">
        <f t="shared" si="1"/>
        <v>0</v>
      </c>
      <c r="M55" s="12">
        <v>0</v>
      </c>
      <c r="N55" s="16"/>
      <c r="O55" s="27">
        <v>0</v>
      </c>
      <c r="P55">
        <v>0</v>
      </c>
      <c r="R55">
        <v>0</v>
      </c>
      <c r="S55">
        <v>0</v>
      </c>
      <c r="U55">
        <v>0</v>
      </c>
    </row>
    <row r="56" spans="1:21">
      <c r="A56" s="6">
        <v>53</v>
      </c>
      <c r="B56" s="12">
        <v>0</v>
      </c>
      <c r="C56" s="12"/>
      <c r="D56" s="12">
        <v>0</v>
      </c>
      <c r="E56" s="12"/>
      <c r="F56" s="12">
        <v>0</v>
      </c>
      <c r="G56" s="12">
        <v>0</v>
      </c>
      <c r="H56" s="12"/>
      <c r="I56" s="12">
        <v>0</v>
      </c>
      <c r="J56" s="12">
        <v>0</v>
      </c>
      <c r="K56" s="13">
        <f t="shared" si="0"/>
        <v>0</v>
      </c>
      <c r="L56" s="15">
        <f t="shared" si="1"/>
        <v>0</v>
      </c>
      <c r="M56" s="12">
        <v>0</v>
      </c>
      <c r="N56" s="16"/>
      <c r="O56" s="27">
        <v>0</v>
      </c>
      <c r="P56">
        <v>0</v>
      </c>
      <c r="R56">
        <v>0</v>
      </c>
      <c r="S56">
        <v>0</v>
      </c>
      <c r="U56">
        <v>0</v>
      </c>
    </row>
    <row r="57" spans="1:21">
      <c r="A57" s="6">
        <v>54</v>
      </c>
      <c r="B57" s="12">
        <v>0</v>
      </c>
      <c r="C57" s="12"/>
      <c r="D57" s="12">
        <v>0</v>
      </c>
      <c r="E57" s="12"/>
      <c r="F57" s="12">
        <v>0</v>
      </c>
      <c r="G57" s="12">
        <v>0</v>
      </c>
      <c r="H57" s="12"/>
      <c r="I57" s="12">
        <v>0</v>
      </c>
      <c r="J57" s="12">
        <v>0</v>
      </c>
      <c r="K57" s="13">
        <f t="shared" si="0"/>
        <v>0</v>
      </c>
      <c r="L57" s="15">
        <f t="shared" si="1"/>
        <v>0</v>
      </c>
      <c r="M57" s="12">
        <v>0</v>
      </c>
      <c r="N57" s="16"/>
      <c r="O57" s="27">
        <v>0</v>
      </c>
      <c r="P57">
        <v>0</v>
      </c>
      <c r="R57">
        <v>0</v>
      </c>
      <c r="S57">
        <v>0</v>
      </c>
      <c r="U57">
        <v>0</v>
      </c>
    </row>
    <row r="58" spans="1:21">
      <c r="A58" s="6">
        <v>55</v>
      </c>
      <c r="B58" s="12">
        <v>0</v>
      </c>
      <c r="C58" s="12"/>
      <c r="D58" s="12">
        <v>0</v>
      </c>
      <c r="E58" s="12"/>
      <c r="F58" s="12">
        <v>0</v>
      </c>
      <c r="G58" s="12">
        <v>0</v>
      </c>
      <c r="H58" s="12"/>
      <c r="I58" s="12">
        <v>0</v>
      </c>
      <c r="J58" s="12">
        <v>0</v>
      </c>
      <c r="K58" s="13">
        <f t="shared" si="0"/>
        <v>0</v>
      </c>
      <c r="L58" s="15">
        <f t="shared" si="1"/>
        <v>0</v>
      </c>
      <c r="M58" s="12">
        <v>0</v>
      </c>
      <c r="N58" s="16"/>
      <c r="O58" s="27">
        <v>0</v>
      </c>
      <c r="P58">
        <v>0</v>
      </c>
      <c r="R58">
        <v>0</v>
      </c>
      <c r="S58">
        <v>0</v>
      </c>
      <c r="U58">
        <v>0</v>
      </c>
    </row>
    <row r="59" spans="1:21">
      <c r="A59" s="6">
        <v>56</v>
      </c>
      <c r="B59" s="12">
        <v>0</v>
      </c>
      <c r="C59" s="12"/>
      <c r="D59" s="12">
        <v>0</v>
      </c>
      <c r="E59" s="12"/>
      <c r="F59" s="12">
        <v>0</v>
      </c>
      <c r="G59" s="12">
        <v>0</v>
      </c>
      <c r="H59" s="12"/>
      <c r="I59" s="12">
        <v>0</v>
      </c>
      <c r="J59" s="12">
        <v>0</v>
      </c>
      <c r="K59" s="13">
        <f t="shared" si="0"/>
        <v>0</v>
      </c>
      <c r="L59" s="15">
        <f t="shared" si="1"/>
        <v>0</v>
      </c>
      <c r="M59" s="12">
        <v>0</v>
      </c>
      <c r="N59" s="16"/>
      <c r="O59" s="27">
        <v>0</v>
      </c>
      <c r="P59">
        <v>0</v>
      </c>
      <c r="R59">
        <v>0</v>
      </c>
      <c r="S59">
        <v>0</v>
      </c>
      <c r="U59">
        <v>0</v>
      </c>
    </row>
    <row r="60" spans="1:21">
      <c r="A60" s="6">
        <v>57</v>
      </c>
      <c r="B60" s="12">
        <v>0</v>
      </c>
      <c r="C60" s="12"/>
      <c r="D60" s="12">
        <v>0</v>
      </c>
      <c r="E60" s="12"/>
      <c r="F60" s="12">
        <v>0</v>
      </c>
      <c r="G60" s="12">
        <v>0</v>
      </c>
      <c r="H60" s="12"/>
      <c r="I60" s="12">
        <v>0</v>
      </c>
      <c r="J60" s="12">
        <v>0</v>
      </c>
      <c r="K60" s="13">
        <f>J60</f>
        <v>0</v>
      </c>
      <c r="L60" s="15">
        <f t="shared" si="1"/>
        <v>0</v>
      </c>
      <c r="M60" s="12">
        <v>0</v>
      </c>
      <c r="N60" s="14"/>
      <c r="O60" s="27">
        <v>0</v>
      </c>
      <c r="P60">
        <v>0</v>
      </c>
      <c r="R60">
        <v>0</v>
      </c>
      <c r="S60">
        <v>0</v>
      </c>
      <c r="U60">
        <v>0</v>
      </c>
    </row>
    <row r="61" spans="1:21">
      <c r="A61" s="6">
        <v>58</v>
      </c>
      <c r="B61" s="12">
        <v>2313</v>
      </c>
      <c r="C61" s="12">
        <v>2655</v>
      </c>
      <c r="D61" s="12">
        <v>2313</v>
      </c>
      <c r="E61" s="12">
        <v>2655</v>
      </c>
      <c r="F61" s="12">
        <v>342</v>
      </c>
      <c r="G61" s="12">
        <v>711.36</v>
      </c>
      <c r="H61" s="12">
        <v>2350</v>
      </c>
      <c r="I61" s="12">
        <v>-273.58999999999997</v>
      </c>
      <c r="J61" s="12">
        <v>2655</v>
      </c>
      <c r="K61" s="13">
        <v>2996</v>
      </c>
      <c r="L61" s="15">
        <f t="shared" si="1"/>
        <v>341</v>
      </c>
      <c r="M61" s="12">
        <v>709.28</v>
      </c>
      <c r="N61" s="19">
        <v>1000</v>
      </c>
      <c r="O61" s="27">
        <v>435.69000000000028</v>
      </c>
      <c r="P61">
        <v>2996</v>
      </c>
      <c r="Q61">
        <v>3238</v>
      </c>
      <c r="R61">
        <v>242</v>
      </c>
      <c r="S61">
        <v>503.36</v>
      </c>
      <c r="T61">
        <v>3100</v>
      </c>
      <c r="U61">
        <v>-2160.9499999999998</v>
      </c>
    </row>
    <row r="62" spans="1:21">
      <c r="A62" s="5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/>
      <c r="I62" s="12">
        <v>0</v>
      </c>
      <c r="J62" s="12">
        <v>0</v>
      </c>
      <c r="K62" s="13">
        <f t="shared" si="0"/>
        <v>0</v>
      </c>
      <c r="L62" s="15">
        <f t="shared" si="1"/>
        <v>0</v>
      </c>
      <c r="M62" s="12">
        <v>0</v>
      </c>
      <c r="N62" s="16"/>
      <c r="O62" s="27">
        <v>0</v>
      </c>
      <c r="P62">
        <v>0</v>
      </c>
      <c r="R62">
        <v>0</v>
      </c>
      <c r="S62">
        <v>0</v>
      </c>
      <c r="U62">
        <v>0</v>
      </c>
    </row>
    <row r="63" spans="1:21">
      <c r="A63" s="6">
        <v>60</v>
      </c>
      <c r="B63" s="12">
        <v>38333</v>
      </c>
      <c r="C63" s="12">
        <v>38958</v>
      </c>
      <c r="D63" s="12">
        <v>38333</v>
      </c>
      <c r="E63" s="12">
        <v>38958</v>
      </c>
      <c r="F63" s="12">
        <v>625</v>
      </c>
      <c r="G63" s="12">
        <v>1300</v>
      </c>
      <c r="H63" s="12"/>
      <c r="I63" s="12">
        <v>17026.5</v>
      </c>
      <c r="J63" s="12">
        <v>38958</v>
      </c>
      <c r="K63" s="13">
        <v>39640</v>
      </c>
      <c r="L63" s="15">
        <f t="shared" si="1"/>
        <v>682</v>
      </c>
      <c r="M63" s="12">
        <v>1418.56</v>
      </c>
      <c r="N63" s="17"/>
      <c r="O63" s="27">
        <v>18445.060000000009</v>
      </c>
      <c r="P63">
        <v>39640</v>
      </c>
      <c r="Q63">
        <v>40263</v>
      </c>
      <c r="R63">
        <v>623</v>
      </c>
      <c r="S63">
        <v>1295.8399999999999</v>
      </c>
      <c r="U63">
        <v>19740.900000000001</v>
      </c>
    </row>
    <row r="64" spans="1:21">
      <c r="A64" s="6">
        <v>61</v>
      </c>
      <c r="B64" s="12">
        <v>56</v>
      </c>
      <c r="C64" s="12">
        <v>93</v>
      </c>
      <c r="D64" s="12">
        <v>56</v>
      </c>
      <c r="E64" s="12">
        <v>93</v>
      </c>
      <c r="F64" s="12">
        <v>37</v>
      </c>
      <c r="G64" s="12">
        <v>76.959999999999994</v>
      </c>
      <c r="H64" s="12"/>
      <c r="I64" s="12">
        <v>190.86</v>
      </c>
      <c r="J64" s="12">
        <v>93</v>
      </c>
      <c r="K64" s="13">
        <v>98</v>
      </c>
      <c r="L64" s="15">
        <f t="shared" si="1"/>
        <v>5</v>
      </c>
      <c r="M64" s="12">
        <v>10.4</v>
      </c>
      <c r="N64" s="16"/>
      <c r="O64" s="27">
        <v>201.26000000000002</v>
      </c>
      <c r="P64">
        <v>98</v>
      </c>
      <c r="Q64">
        <v>144</v>
      </c>
      <c r="R64">
        <v>46</v>
      </c>
      <c r="S64">
        <v>95.68</v>
      </c>
      <c r="U64">
        <v>96.94</v>
      </c>
    </row>
    <row r="65" spans="1:21">
      <c r="A65" s="6">
        <v>62</v>
      </c>
      <c r="B65" s="12">
        <v>19025</v>
      </c>
      <c r="C65" s="12">
        <v>19269</v>
      </c>
      <c r="D65" s="12">
        <v>19025</v>
      </c>
      <c r="E65" s="12">
        <v>19269</v>
      </c>
      <c r="F65" s="12">
        <v>244</v>
      </c>
      <c r="G65" s="12">
        <v>507.52</v>
      </c>
      <c r="H65" s="12"/>
      <c r="I65" s="12">
        <v>1132.18</v>
      </c>
      <c r="J65" s="12">
        <v>19269</v>
      </c>
      <c r="K65" s="13">
        <v>19452</v>
      </c>
      <c r="L65" s="15">
        <f t="shared" si="1"/>
        <v>183</v>
      </c>
      <c r="M65" s="12">
        <v>380.64</v>
      </c>
      <c r="N65" s="19">
        <v>1132</v>
      </c>
      <c r="O65" s="27">
        <v>380.82000000000153</v>
      </c>
      <c r="P65">
        <v>19452</v>
      </c>
      <c r="Q65">
        <v>19612</v>
      </c>
      <c r="R65">
        <v>160</v>
      </c>
      <c r="S65">
        <v>332.8</v>
      </c>
      <c r="U65">
        <v>713.62</v>
      </c>
    </row>
    <row r="66" spans="1:21">
      <c r="A66" s="6">
        <v>63</v>
      </c>
      <c r="B66" s="12">
        <v>48500</v>
      </c>
      <c r="C66" s="12">
        <v>48641</v>
      </c>
      <c r="D66" s="12">
        <v>48500</v>
      </c>
      <c r="E66" s="12">
        <v>48641</v>
      </c>
      <c r="F66" s="12">
        <v>141</v>
      </c>
      <c r="G66" s="12">
        <v>293.27999999999997</v>
      </c>
      <c r="H66" s="12"/>
      <c r="I66" s="12">
        <v>3394.21</v>
      </c>
      <c r="J66" s="12">
        <v>48641</v>
      </c>
      <c r="K66" s="13">
        <v>49231</v>
      </c>
      <c r="L66" s="15">
        <f t="shared" si="1"/>
        <v>590</v>
      </c>
      <c r="M66" s="12">
        <v>1227.2</v>
      </c>
      <c r="N66" s="16"/>
      <c r="O66" s="27">
        <v>4621.4100000000089</v>
      </c>
      <c r="P66">
        <v>49231</v>
      </c>
      <c r="Q66">
        <v>49691</v>
      </c>
      <c r="R66">
        <v>460</v>
      </c>
      <c r="S66">
        <v>956.8</v>
      </c>
      <c r="U66">
        <v>5578.21</v>
      </c>
    </row>
    <row r="67" spans="1:21">
      <c r="A67" s="6">
        <v>64</v>
      </c>
      <c r="B67" s="12">
        <v>207</v>
      </c>
      <c r="C67" s="12">
        <v>219</v>
      </c>
      <c r="D67" s="12">
        <v>207</v>
      </c>
      <c r="E67" s="12">
        <v>219</v>
      </c>
      <c r="F67" s="12">
        <v>12</v>
      </c>
      <c r="G67" s="12">
        <v>24.96</v>
      </c>
      <c r="H67" s="12"/>
      <c r="I67" s="12">
        <v>450.36</v>
      </c>
      <c r="J67" s="12">
        <v>219</v>
      </c>
      <c r="K67" s="13">
        <v>229</v>
      </c>
      <c r="L67" s="15">
        <f t="shared" si="1"/>
        <v>10</v>
      </c>
      <c r="M67" s="12">
        <v>20.8</v>
      </c>
      <c r="N67" s="14"/>
      <c r="O67" s="27">
        <v>471.16</v>
      </c>
      <c r="P67">
        <v>229</v>
      </c>
      <c r="Q67">
        <v>278</v>
      </c>
      <c r="R67">
        <v>49</v>
      </c>
      <c r="S67">
        <v>101.92</v>
      </c>
      <c r="T67">
        <v>500</v>
      </c>
      <c r="U67">
        <v>73.08</v>
      </c>
    </row>
    <row r="68" spans="1:21">
      <c r="A68" s="6">
        <v>65</v>
      </c>
      <c r="B68" s="12">
        <v>25243</v>
      </c>
      <c r="C68" s="12">
        <v>25752</v>
      </c>
      <c r="D68" s="12">
        <v>25243</v>
      </c>
      <c r="E68" s="12">
        <v>25752</v>
      </c>
      <c r="F68" s="12">
        <v>509</v>
      </c>
      <c r="G68" s="12">
        <v>1058.72</v>
      </c>
      <c r="H68" s="12">
        <v>1256.32</v>
      </c>
      <c r="I68" s="12">
        <v>588.04</v>
      </c>
      <c r="J68" s="12">
        <v>25752</v>
      </c>
      <c r="K68" s="13">
        <v>26158</v>
      </c>
      <c r="L68" s="15">
        <f t="shared" si="1"/>
        <v>406</v>
      </c>
      <c r="M68" s="12">
        <v>844.48</v>
      </c>
      <c r="N68" s="17">
        <v>927.68</v>
      </c>
      <c r="O68" s="27">
        <v>-293.88000000000022</v>
      </c>
      <c r="P68">
        <v>26158</v>
      </c>
      <c r="Q68">
        <v>26492</v>
      </c>
      <c r="R68">
        <v>334</v>
      </c>
      <c r="S68">
        <v>694.72</v>
      </c>
      <c r="T68">
        <v>534.55999999999995</v>
      </c>
      <c r="U68">
        <v>-133.72</v>
      </c>
    </row>
    <row r="69" spans="1:21">
      <c r="A69" s="6">
        <v>66</v>
      </c>
      <c r="B69" s="12">
        <v>0</v>
      </c>
      <c r="C69" s="12"/>
      <c r="D69" s="12">
        <v>0</v>
      </c>
      <c r="E69" s="12"/>
      <c r="F69" s="12">
        <v>0</v>
      </c>
      <c r="G69" s="12">
        <v>0</v>
      </c>
      <c r="H69" s="12"/>
      <c r="I69" s="12">
        <v>0</v>
      </c>
      <c r="J69" s="12">
        <v>0</v>
      </c>
      <c r="K69" s="13">
        <f>J69</f>
        <v>0</v>
      </c>
      <c r="L69" s="15">
        <f t="shared" ref="L69:L132" si="2">K69-J69</f>
        <v>0</v>
      </c>
      <c r="M69" s="12">
        <v>0</v>
      </c>
      <c r="N69" s="16"/>
      <c r="O69" s="27">
        <v>0</v>
      </c>
      <c r="P69">
        <v>0</v>
      </c>
      <c r="R69">
        <v>0</v>
      </c>
      <c r="S69">
        <v>0</v>
      </c>
      <c r="U69">
        <v>0</v>
      </c>
    </row>
    <row r="70" spans="1:21">
      <c r="A70" s="6">
        <v>67</v>
      </c>
      <c r="B70" s="12">
        <v>0</v>
      </c>
      <c r="C70" s="12"/>
      <c r="D70" s="12">
        <v>0</v>
      </c>
      <c r="E70" s="12"/>
      <c r="F70" s="12">
        <v>0</v>
      </c>
      <c r="G70" s="12">
        <v>0</v>
      </c>
      <c r="H70" s="12"/>
      <c r="I70" s="12">
        <v>0</v>
      </c>
      <c r="J70" s="12">
        <v>0</v>
      </c>
      <c r="K70" s="13">
        <f>J70</f>
        <v>0</v>
      </c>
      <c r="L70" s="15">
        <f t="shared" si="2"/>
        <v>0</v>
      </c>
      <c r="M70" s="12">
        <v>0</v>
      </c>
      <c r="N70" s="16"/>
      <c r="O70" s="27">
        <v>0</v>
      </c>
      <c r="P70">
        <v>0</v>
      </c>
      <c r="R70">
        <v>0</v>
      </c>
      <c r="S70">
        <v>0</v>
      </c>
      <c r="U70">
        <v>0</v>
      </c>
    </row>
    <row r="71" spans="1:21">
      <c r="A71" s="6">
        <v>68</v>
      </c>
      <c r="B71" s="12">
        <v>0</v>
      </c>
      <c r="C71" s="12"/>
      <c r="D71" s="12">
        <v>0</v>
      </c>
      <c r="E71" s="12"/>
      <c r="F71" s="12">
        <v>0</v>
      </c>
      <c r="G71" s="12">
        <v>0</v>
      </c>
      <c r="H71" s="12"/>
      <c r="I71" s="12">
        <v>0</v>
      </c>
      <c r="J71" s="12">
        <v>0</v>
      </c>
      <c r="K71" s="13">
        <f>J71</f>
        <v>0</v>
      </c>
      <c r="L71" s="15">
        <f t="shared" si="2"/>
        <v>0</v>
      </c>
      <c r="M71" s="12">
        <v>0</v>
      </c>
      <c r="N71" s="16"/>
      <c r="O71" s="27">
        <v>0</v>
      </c>
      <c r="P71">
        <v>0</v>
      </c>
      <c r="R71">
        <v>0</v>
      </c>
      <c r="S71">
        <v>0</v>
      </c>
      <c r="U71">
        <v>0</v>
      </c>
    </row>
    <row r="72" spans="1:21">
      <c r="A72" s="6">
        <v>69</v>
      </c>
      <c r="B72" s="12">
        <v>1232</v>
      </c>
      <c r="C72" s="12">
        <v>1588</v>
      </c>
      <c r="D72" s="12">
        <v>1232</v>
      </c>
      <c r="E72" s="12">
        <v>1588</v>
      </c>
      <c r="F72" s="12">
        <v>356</v>
      </c>
      <c r="G72" s="12">
        <v>740.48</v>
      </c>
      <c r="H72" s="12">
        <v>1005</v>
      </c>
      <c r="I72" s="12">
        <v>116.72</v>
      </c>
      <c r="J72" s="12">
        <v>1588</v>
      </c>
      <c r="K72" s="13">
        <v>1976</v>
      </c>
      <c r="L72" s="15">
        <f t="shared" si="2"/>
        <v>388</v>
      </c>
      <c r="M72" s="12">
        <v>807.04000000000008</v>
      </c>
      <c r="N72" s="17"/>
      <c r="O72" s="27">
        <v>923.75999999999169</v>
      </c>
      <c r="P72">
        <v>1976</v>
      </c>
      <c r="Q72">
        <v>2132</v>
      </c>
      <c r="R72">
        <v>156</v>
      </c>
      <c r="S72">
        <v>324.48</v>
      </c>
      <c r="T72">
        <v>1248</v>
      </c>
      <c r="U72">
        <v>0.24</v>
      </c>
    </row>
    <row r="73" spans="1:21">
      <c r="A73" s="6">
        <v>70</v>
      </c>
      <c r="B73" s="12">
        <v>0</v>
      </c>
      <c r="C73" s="12"/>
      <c r="D73" s="12">
        <v>0</v>
      </c>
      <c r="E73" s="12"/>
      <c r="F73" s="12">
        <v>0</v>
      </c>
      <c r="G73" s="12">
        <v>0</v>
      </c>
      <c r="H73" s="12"/>
      <c r="I73" s="12">
        <v>0</v>
      </c>
      <c r="J73" s="12">
        <v>0</v>
      </c>
      <c r="K73" s="13">
        <f>J73</f>
        <v>0</v>
      </c>
      <c r="L73" s="15">
        <f t="shared" si="2"/>
        <v>0</v>
      </c>
      <c r="M73" s="12">
        <v>0</v>
      </c>
      <c r="N73" s="16"/>
      <c r="O73" s="27">
        <v>0</v>
      </c>
      <c r="P73">
        <v>0</v>
      </c>
      <c r="R73">
        <v>0</v>
      </c>
      <c r="S73">
        <v>0</v>
      </c>
      <c r="U73">
        <v>0</v>
      </c>
    </row>
    <row r="74" spans="1:21">
      <c r="A74" s="6">
        <v>71</v>
      </c>
      <c r="B74" s="12">
        <v>7000</v>
      </c>
      <c r="C74" s="12">
        <v>7000</v>
      </c>
      <c r="D74" s="12">
        <v>7000</v>
      </c>
      <c r="E74" s="12">
        <v>7000</v>
      </c>
      <c r="F74" s="12">
        <v>0</v>
      </c>
      <c r="G74" s="12">
        <v>0</v>
      </c>
      <c r="H74" s="12"/>
      <c r="I74" s="12">
        <v>1356.16</v>
      </c>
      <c r="J74" s="12">
        <v>7000</v>
      </c>
      <c r="K74" s="13">
        <f t="shared" ref="K74:K80" si="3">J74</f>
        <v>7000</v>
      </c>
      <c r="L74" s="15">
        <f t="shared" si="2"/>
        <v>0</v>
      </c>
      <c r="M74" s="12">
        <v>0</v>
      </c>
      <c r="N74" s="14"/>
      <c r="O74" s="27">
        <v>1356.1599999999999</v>
      </c>
      <c r="P74">
        <v>7000</v>
      </c>
      <c r="Q74">
        <v>7000</v>
      </c>
      <c r="R74">
        <v>0</v>
      </c>
      <c r="S74">
        <v>0</v>
      </c>
      <c r="U74">
        <v>1356.16</v>
      </c>
    </row>
    <row r="75" spans="1:21">
      <c r="A75" s="6">
        <v>72</v>
      </c>
      <c r="B75" s="12">
        <v>1259</v>
      </c>
      <c r="C75" s="12">
        <v>1769</v>
      </c>
      <c r="D75" s="12">
        <v>1259</v>
      </c>
      <c r="E75" s="12">
        <v>1769</v>
      </c>
      <c r="F75" s="12">
        <v>510</v>
      </c>
      <c r="G75" s="12">
        <v>1060.8</v>
      </c>
      <c r="H75" s="12"/>
      <c r="I75" s="12">
        <v>1622.48</v>
      </c>
      <c r="J75" s="12">
        <v>1769</v>
      </c>
      <c r="K75" s="13">
        <v>1881</v>
      </c>
      <c r="L75" s="15">
        <f t="shared" si="2"/>
        <v>112</v>
      </c>
      <c r="M75" s="12">
        <v>232.96</v>
      </c>
      <c r="N75" s="19">
        <v>1600</v>
      </c>
      <c r="O75" s="27">
        <v>255.43999999999983</v>
      </c>
      <c r="P75">
        <v>1881</v>
      </c>
      <c r="Q75">
        <v>1997</v>
      </c>
      <c r="R75">
        <v>116</v>
      </c>
      <c r="S75">
        <v>241.28</v>
      </c>
      <c r="U75">
        <v>496.72</v>
      </c>
    </row>
    <row r="76" spans="1:21">
      <c r="A76" s="6">
        <v>73</v>
      </c>
      <c r="B76" s="12">
        <v>0</v>
      </c>
      <c r="C76" s="12"/>
      <c r="D76" s="12">
        <v>0</v>
      </c>
      <c r="E76" s="12"/>
      <c r="F76" s="12">
        <v>0</v>
      </c>
      <c r="G76" s="12">
        <v>0</v>
      </c>
      <c r="H76" s="12"/>
      <c r="I76" s="12">
        <v>0</v>
      </c>
      <c r="J76" s="12">
        <v>0</v>
      </c>
      <c r="K76" s="13">
        <f t="shared" si="3"/>
        <v>0</v>
      </c>
      <c r="L76" s="15">
        <f t="shared" si="2"/>
        <v>0</v>
      </c>
      <c r="M76" s="12">
        <v>0</v>
      </c>
      <c r="N76" s="16"/>
      <c r="O76" s="27">
        <v>0</v>
      </c>
      <c r="P76">
        <v>0</v>
      </c>
      <c r="R76">
        <v>0</v>
      </c>
      <c r="S76">
        <v>0</v>
      </c>
      <c r="U76">
        <v>0</v>
      </c>
    </row>
    <row r="77" spans="1:21">
      <c r="A77" s="7">
        <v>74</v>
      </c>
      <c r="B77" s="12">
        <v>0</v>
      </c>
      <c r="C77" s="12"/>
      <c r="D77" s="12">
        <v>0</v>
      </c>
      <c r="E77" s="12"/>
      <c r="F77" s="12">
        <v>0</v>
      </c>
      <c r="G77" s="12">
        <v>0</v>
      </c>
      <c r="H77" s="12"/>
      <c r="I77" s="12">
        <v>0</v>
      </c>
      <c r="J77" s="12">
        <v>0</v>
      </c>
      <c r="K77" s="13">
        <f t="shared" si="3"/>
        <v>0</v>
      </c>
      <c r="L77" s="15">
        <f t="shared" si="2"/>
        <v>0</v>
      </c>
      <c r="M77" s="12">
        <v>0</v>
      </c>
      <c r="N77" s="16"/>
      <c r="O77" s="27">
        <v>0</v>
      </c>
      <c r="P77">
        <v>0</v>
      </c>
      <c r="R77">
        <v>0</v>
      </c>
      <c r="S77">
        <v>0</v>
      </c>
      <c r="U77">
        <v>0</v>
      </c>
    </row>
    <row r="78" spans="1:21">
      <c r="A78" s="6">
        <v>75</v>
      </c>
      <c r="B78" s="12">
        <v>52088</v>
      </c>
      <c r="C78" s="12">
        <v>52140</v>
      </c>
      <c r="D78" s="12">
        <v>52088</v>
      </c>
      <c r="E78" s="12">
        <v>52140</v>
      </c>
      <c r="F78" s="12">
        <v>52</v>
      </c>
      <c r="G78" s="12">
        <v>108.16</v>
      </c>
      <c r="H78" s="12"/>
      <c r="I78" s="12">
        <v>46.53</v>
      </c>
      <c r="J78" s="12">
        <v>52140</v>
      </c>
      <c r="K78" s="13">
        <v>52164</v>
      </c>
      <c r="L78" s="15">
        <f t="shared" si="2"/>
        <v>24</v>
      </c>
      <c r="M78" s="12">
        <v>49.92</v>
      </c>
      <c r="N78" s="16"/>
      <c r="O78" s="27">
        <v>96.450000000001722</v>
      </c>
      <c r="P78">
        <v>52164</v>
      </c>
      <c r="Q78">
        <v>52179</v>
      </c>
      <c r="R78">
        <v>15</v>
      </c>
      <c r="S78">
        <v>31.2</v>
      </c>
      <c r="U78">
        <v>127.65</v>
      </c>
    </row>
    <row r="79" spans="1:21">
      <c r="A79" s="6">
        <v>76</v>
      </c>
      <c r="B79" s="12">
        <v>15232</v>
      </c>
      <c r="C79" s="12">
        <v>15625</v>
      </c>
      <c r="D79" s="12">
        <v>15232</v>
      </c>
      <c r="E79" s="12">
        <v>15625</v>
      </c>
      <c r="F79" s="12">
        <v>393</v>
      </c>
      <c r="G79" s="12">
        <v>817.44</v>
      </c>
      <c r="H79" s="12"/>
      <c r="I79" s="12">
        <v>5183.01</v>
      </c>
      <c r="J79" s="12">
        <v>15625</v>
      </c>
      <c r="K79" s="13">
        <v>16015</v>
      </c>
      <c r="L79" s="15">
        <f t="shared" si="2"/>
        <v>390</v>
      </c>
      <c r="M79" s="12">
        <v>811.2</v>
      </c>
      <c r="N79" s="16"/>
      <c r="O79" s="27">
        <v>5994.21</v>
      </c>
      <c r="P79">
        <v>16015</v>
      </c>
      <c r="Q79">
        <v>16349</v>
      </c>
      <c r="R79">
        <v>334</v>
      </c>
      <c r="S79">
        <v>694.72</v>
      </c>
      <c r="U79">
        <v>6688.93</v>
      </c>
    </row>
    <row r="80" spans="1:21">
      <c r="A80" s="6">
        <v>77</v>
      </c>
      <c r="B80" s="12">
        <v>0</v>
      </c>
      <c r="C80" s="12"/>
      <c r="D80" s="12">
        <v>0</v>
      </c>
      <c r="E80" s="12"/>
      <c r="F80" s="12">
        <v>0</v>
      </c>
      <c r="G80" s="12">
        <v>0</v>
      </c>
      <c r="H80" s="12"/>
      <c r="I80" s="12">
        <v>0</v>
      </c>
      <c r="J80" s="12">
        <v>0</v>
      </c>
      <c r="K80" s="13">
        <f t="shared" si="3"/>
        <v>0</v>
      </c>
      <c r="L80" s="15">
        <f t="shared" si="2"/>
        <v>0</v>
      </c>
      <c r="M80" s="12">
        <v>0</v>
      </c>
      <c r="N80" s="16"/>
      <c r="O80" s="27">
        <v>0</v>
      </c>
      <c r="P80">
        <v>0</v>
      </c>
      <c r="R80">
        <v>0</v>
      </c>
      <c r="S80">
        <v>0</v>
      </c>
      <c r="U80">
        <v>0</v>
      </c>
    </row>
    <row r="81" spans="1:21">
      <c r="A81" s="6">
        <v>78</v>
      </c>
      <c r="B81" s="12">
        <v>2473</v>
      </c>
      <c r="C81" s="12">
        <v>2473</v>
      </c>
      <c r="D81" s="12">
        <v>2473</v>
      </c>
      <c r="E81" s="12">
        <v>2473</v>
      </c>
      <c r="F81" s="12">
        <v>0</v>
      </c>
      <c r="G81" s="12">
        <v>0</v>
      </c>
      <c r="H81" s="12"/>
      <c r="I81" s="12">
        <v>-263.5</v>
      </c>
      <c r="J81" s="12">
        <v>2473</v>
      </c>
      <c r="K81" s="13">
        <v>2473</v>
      </c>
      <c r="L81" s="15">
        <f t="shared" si="2"/>
        <v>0</v>
      </c>
      <c r="M81" s="12">
        <v>0</v>
      </c>
      <c r="N81" s="14"/>
      <c r="O81" s="27">
        <v>-263.49999999999955</v>
      </c>
      <c r="P81">
        <v>2473</v>
      </c>
      <c r="Q81">
        <v>2473</v>
      </c>
      <c r="R81">
        <v>0</v>
      </c>
      <c r="S81">
        <v>0</v>
      </c>
      <c r="U81">
        <v>-263.5</v>
      </c>
    </row>
    <row r="82" spans="1:21">
      <c r="A82" s="6">
        <v>79</v>
      </c>
      <c r="B82" s="12">
        <v>19682</v>
      </c>
      <c r="C82" s="12">
        <v>21613</v>
      </c>
      <c r="D82" s="12">
        <v>19682</v>
      </c>
      <c r="E82" s="12">
        <v>21613</v>
      </c>
      <c r="F82" s="12">
        <v>1931</v>
      </c>
      <c r="G82" s="12">
        <v>4016.48</v>
      </c>
      <c r="H82" s="12">
        <v>17100</v>
      </c>
      <c r="I82" s="12">
        <v>-15.96</v>
      </c>
      <c r="J82" s="12">
        <v>21613</v>
      </c>
      <c r="K82" s="13">
        <v>22866</v>
      </c>
      <c r="L82" s="15">
        <f t="shared" si="2"/>
        <v>1253</v>
      </c>
      <c r="M82" s="12">
        <v>2606.2400000000002</v>
      </c>
      <c r="N82" s="19">
        <v>17100</v>
      </c>
      <c r="O82" s="27">
        <v>2590.2799999999988</v>
      </c>
      <c r="P82">
        <v>22866</v>
      </c>
      <c r="Q82">
        <v>23993</v>
      </c>
      <c r="R82">
        <v>1127</v>
      </c>
      <c r="S82">
        <v>2344.16</v>
      </c>
      <c r="U82">
        <v>4934.4399999999996</v>
      </c>
    </row>
    <row r="83" spans="1:21">
      <c r="A83" s="6">
        <v>80</v>
      </c>
      <c r="B83" s="12">
        <v>0</v>
      </c>
      <c r="C83" s="12"/>
      <c r="D83" s="12">
        <v>0</v>
      </c>
      <c r="E83" s="12"/>
      <c r="F83" s="12">
        <v>0</v>
      </c>
      <c r="G83" s="12">
        <v>0</v>
      </c>
      <c r="H83" s="12"/>
      <c r="I83" s="12">
        <v>0</v>
      </c>
      <c r="J83" s="12">
        <v>0</v>
      </c>
      <c r="K83" s="13">
        <f t="shared" ref="K83:K94" si="4">J83</f>
        <v>0</v>
      </c>
      <c r="L83" s="15">
        <f t="shared" si="2"/>
        <v>0</v>
      </c>
      <c r="M83" s="12">
        <v>0</v>
      </c>
      <c r="N83" s="16"/>
      <c r="O83" s="27">
        <v>0</v>
      </c>
      <c r="P83">
        <v>0</v>
      </c>
      <c r="R83">
        <v>0</v>
      </c>
      <c r="S83">
        <v>0</v>
      </c>
      <c r="U83">
        <v>0</v>
      </c>
    </row>
    <row r="84" spans="1:21">
      <c r="A84" s="6">
        <v>81</v>
      </c>
      <c r="B84" s="12">
        <v>69000</v>
      </c>
      <c r="C84" s="12">
        <v>70150</v>
      </c>
      <c r="D84" s="12">
        <v>69000</v>
      </c>
      <c r="E84" s="12">
        <v>70150</v>
      </c>
      <c r="F84" s="12">
        <v>1150</v>
      </c>
      <c r="G84" s="12">
        <v>2392</v>
      </c>
      <c r="H84" s="12"/>
      <c r="I84" s="12">
        <v>3862.36</v>
      </c>
      <c r="J84" s="12">
        <v>70150</v>
      </c>
      <c r="K84" s="13">
        <f t="shared" si="4"/>
        <v>70150</v>
      </c>
      <c r="L84" s="15">
        <f t="shared" si="2"/>
        <v>0</v>
      </c>
      <c r="M84" s="12">
        <v>0</v>
      </c>
      <c r="N84" s="16"/>
      <c r="O84" s="27">
        <v>3862.3599999999969</v>
      </c>
      <c r="P84">
        <v>70150</v>
      </c>
      <c r="Q84">
        <v>72500</v>
      </c>
      <c r="R84">
        <v>2350</v>
      </c>
      <c r="S84">
        <v>4888</v>
      </c>
      <c r="U84">
        <v>8750.36</v>
      </c>
    </row>
    <row r="85" spans="1:21">
      <c r="A85" s="6">
        <v>82</v>
      </c>
      <c r="B85" s="12">
        <v>876</v>
      </c>
      <c r="C85" s="12">
        <v>876</v>
      </c>
      <c r="D85" s="12">
        <v>876</v>
      </c>
      <c r="E85" s="12">
        <v>876</v>
      </c>
      <c r="F85" s="12">
        <v>0</v>
      </c>
      <c r="G85" s="12">
        <v>0</v>
      </c>
      <c r="H85" s="12"/>
      <c r="I85" s="12">
        <v>-7650.77</v>
      </c>
      <c r="J85" s="12">
        <v>876</v>
      </c>
      <c r="K85" s="13">
        <f t="shared" si="4"/>
        <v>876</v>
      </c>
      <c r="L85" s="15">
        <f t="shared" si="2"/>
        <v>0</v>
      </c>
      <c r="M85" s="12">
        <v>0</v>
      </c>
      <c r="N85" s="16"/>
      <c r="O85" s="27">
        <v>-7650.7700000000023</v>
      </c>
      <c r="P85">
        <v>876</v>
      </c>
      <c r="Q85">
        <v>876</v>
      </c>
      <c r="R85">
        <v>0</v>
      </c>
      <c r="S85">
        <v>0</v>
      </c>
      <c r="U85">
        <v>-7650.77</v>
      </c>
    </row>
    <row r="86" spans="1:21">
      <c r="A86" s="6">
        <v>83</v>
      </c>
      <c r="B86" s="12">
        <v>333</v>
      </c>
      <c r="C86" s="12">
        <v>333</v>
      </c>
      <c r="D86" s="12">
        <v>333</v>
      </c>
      <c r="E86" s="12">
        <v>333</v>
      </c>
      <c r="F86" s="12">
        <v>0</v>
      </c>
      <c r="G86" s="12">
        <v>0</v>
      </c>
      <c r="H86" s="12"/>
      <c r="I86" s="12">
        <v>0</v>
      </c>
      <c r="J86" s="12">
        <v>333</v>
      </c>
      <c r="K86" s="13">
        <f t="shared" si="4"/>
        <v>333</v>
      </c>
      <c r="L86" s="15">
        <f t="shared" si="2"/>
        <v>0</v>
      </c>
      <c r="M86" s="12">
        <v>0</v>
      </c>
      <c r="N86" s="16"/>
      <c r="O86" s="27">
        <v>0</v>
      </c>
      <c r="P86">
        <v>333</v>
      </c>
      <c r="Q86">
        <v>333</v>
      </c>
      <c r="R86">
        <v>0</v>
      </c>
      <c r="S86">
        <v>0</v>
      </c>
      <c r="U86">
        <v>0</v>
      </c>
    </row>
    <row r="87" spans="1:21">
      <c r="A87" s="6">
        <v>84</v>
      </c>
      <c r="B87" s="12">
        <v>61791</v>
      </c>
      <c r="C87" s="12">
        <v>62149</v>
      </c>
      <c r="D87" s="12">
        <v>61791</v>
      </c>
      <c r="E87" s="12">
        <v>62149</v>
      </c>
      <c r="F87" s="12">
        <v>358</v>
      </c>
      <c r="G87" s="12">
        <v>744.64</v>
      </c>
      <c r="H87" s="12"/>
      <c r="I87" s="12">
        <v>5309.49</v>
      </c>
      <c r="J87" s="12">
        <v>62149</v>
      </c>
      <c r="K87" s="13">
        <v>62606</v>
      </c>
      <c r="L87" s="15">
        <f t="shared" si="2"/>
        <v>457</v>
      </c>
      <c r="M87" s="12">
        <v>950.56000000000006</v>
      </c>
      <c r="N87" s="16"/>
      <c r="O87" s="27">
        <v>6260.0499999999993</v>
      </c>
      <c r="P87">
        <v>62606</v>
      </c>
      <c r="Q87">
        <v>63015</v>
      </c>
      <c r="R87">
        <v>409</v>
      </c>
      <c r="S87">
        <v>850.72</v>
      </c>
      <c r="U87">
        <v>7110.77</v>
      </c>
    </row>
    <row r="88" spans="1:21">
      <c r="A88" s="6">
        <v>85</v>
      </c>
      <c r="B88" s="12">
        <v>10163</v>
      </c>
      <c r="C88" s="12">
        <v>10317</v>
      </c>
      <c r="D88" s="12">
        <v>10163</v>
      </c>
      <c r="E88" s="12">
        <v>10317</v>
      </c>
      <c r="F88" s="12">
        <v>154</v>
      </c>
      <c r="G88" s="12">
        <v>320.32</v>
      </c>
      <c r="H88" s="12"/>
      <c r="I88" s="12">
        <v>-140.07</v>
      </c>
      <c r="J88" s="12">
        <v>10317</v>
      </c>
      <c r="K88" s="13">
        <v>10436</v>
      </c>
      <c r="L88" s="15">
        <f t="shared" si="2"/>
        <v>119</v>
      </c>
      <c r="M88" s="12">
        <v>247.52</v>
      </c>
      <c r="N88" s="20"/>
      <c r="O88" s="27">
        <v>107.45000000000059</v>
      </c>
      <c r="P88">
        <v>10436</v>
      </c>
      <c r="Q88">
        <v>10515</v>
      </c>
      <c r="R88">
        <v>79</v>
      </c>
      <c r="S88">
        <v>164.32</v>
      </c>
      <c r="U88">
        <v>271.77</v>
      </c>
    </row>
    <row r="89" spans="1:21">
      <c r="A89" s="6">
        <v>86</v>
      </c>
      <c r="B89" s="12">
        <v>49115</v>
      </c>
      <c r="C89" s="12">
        <v>50137</v>
      </c>
      <c r="D89" s="12">
        <v>49115</v>
      </c>
      <c r="E89" s="12">
        <v>50137</v>
      </c>
      <c r="F89" s="12">
        <v>1022</v>
      </c>
      <c r="G89" s="12">
        <v>2125.7600000000002</v>
      </c>
      <c r="H89" s="12"/>
      <c r="I89" s="12">
        <v>4916.7</v>
      </c>
      <c r="J89" s="12">
        <v>50137</v>
      </c>
      <c r="K89" s="13">
        <v>51008</v>
      </c>
      <c r="L89" s="15">
        <f t="shared" si="2"/>
        <v>871</v>
      </c>
      <c r="M89" s="12">
        <v>1811.68</v>
      </c>
      <c r="N89" s="16"/>
      <c r="O89" s="27">
        <v>6728.3800000000019</v>
      </c>
      <c r="P89">
        <v>51008</v>
      </c>
      <c r="Q89">
        <v>51744</v>
      </c>
      <c r="R89">
        <v>736</v>
      </c>
      <c r="S89">
        <v>1530.88</v>
      </c>
      <c r="U89">
        <v>8259.26</v>
      </c>
    </row>
    <row r="90" spans="1:21">
      <c r="A90" s="6">
        <v>87</v>
      </c>
      <c r="B90" s="12">
        <v>145489</v>
      </c>
      <c r="C90" s="12">
        <v>150252</v>
      </c>
      <c r="D90" s="12">
        <v>145489</v>
      </c>
      <c r="E90" s="12">
        <v>150252</v>
      </c>
      <c r="F90" s="12">
        <v>4763</v>
      </c>
      <c r="G90" s="12">
        <v>9907.0400000000009</v>
      </c>
      <c r="H90" s="12">
        <v>5000</v>
      </c>
      <c r="I90" s="12">
        <v>23269.87</v>
      </c>
      <c r="J90" s="12">
        <v>150252</v>
      </c>
      <c r="K90" s="13">
        <v>154134</v>
      </c>
      <c r="L90" s="15">
        <f t="shared" si="2"/>
        <v>3882</v>
      </c>
      <c r="M90" s="12">
        <v>8074.56</v>
      </c>
      <c r="N90" s="19">
        <v>15000</v>
      </c>
      <c r="O90" s="27">
        <v>16344.43</v>
      </c>
      <c r="P90">
        <v>154134</v>
      </c>
      <c r="Q90">
        <v>157004</v>
      </c>
      <c r="R90">
        <v>2870</v>
      </c>
      <c r="S90">
        <v>5969.6</v>
      </c>
      <c r="T90">
        <v>10000</v>
      </c>
      <c r="U90">
        <v>12314.03</v>
      </c>
    </row>
    <row r="91" spans="1:21">
      <c r="A91" s="6">
        <v>88</v>
      </c>
      <c r="B91" s="12">
        <v>0</v>
      </c>
      <c r="C91" s="12"/>
      <c r="D91" s="12">
        <v>0</v>
      </c>
      <c r="E91" s="12"/>
      <c r="F91" s="12">
        <v>0</v>
      </c>
      <c r="G91" s="12">
        <v>0</v>
      </c>
      <c r="H91" s="12"/>
      <c r="I91" s="12">
        <v>0</v>
      </c>
      <c r="J91" s="12">
        <v>0</v>
      </c>
      <c r="K91" s="13">
        <f t="shared" si="4"/>
        <v>0</v>
      </c>
      <c r="L91" s="15">
        <f t="shared" si="2"/>
        <v>0</v>
      </c>
      <c r="M91" s="12">
        <v>0</v>
      </c>
      <c r="N91" s="16"/>
      <c r="O91" s="27">
        <v>0</v>
      </c>
      <c r="P91">
        <v>0</v>
      </c>
      <c r="R91">
        <v>0</v>
      </c>
      <c r="S91">
        <v>0</v>
      </c>
      <c r="U91">
        <v>0</v>
      </c>
    </row>
    <row r="92" spans="1:21">
      <c r="A92" s="6">
        <v>89</v>
      </c>
      <c r="B92" s="12">
        <v>0</v>
      </c>
      <c r="C92" s="12"/>
      <c r="D92" s="12">
        <v>0</v>
      </c>
      <c r="E92" s="12"/>
      <c r="F92" s="12">
        <v>0</v>
      </c>
      <c r="G92" s="12">
        <v>0</v>
      </c>
      <c r="H92" s="12"/>
      <c r="I92" s="12">
        <v>0</v>
      </c>
      <c r="J92" s="12">
        <v>0</v>
      </c>
      <c r="K92" s="13">
        <f t="shared" si="4"/>
        <v>0</v>
      </c>
      <c r="L92" s="15">
        <f t="shared" si="2"/>
        <v>0</v>
      </c>
      <c r="M92" s="12">
        <v>0</v>
      </c>
      <c r="N92" s="16"/>
      <c r="O92" s="27">
        <v>0</v>
      </c>
      <c r="P92">
        <v>0</v>
      </c>
      <c r="R92">
        <v>0</v>
      </c>
      <c r="S92">
        <v>0</v>
      </c>
      <c r="U92">
        <v>0</v>
      </c>
    </row>
    <row r="93" spans="1:21">
      <c r="A93" s="6">
        <v>90</v>
      </c>
      <c r="B93" s="12">
        <v>14722</v>
      </c>
      <c r="C93" s="12">
        <v>15338</v>
      </c>
      <c r="D93" s="12">
        <v>14722</v>
      </c>
      <c r="E93" s="12">
        <v>15338</v>
      </c>
      <c r="F93" s="12">
        <v>616</v>
      </c>
      <c r="G93" s="12">
        <v>1281.28</v>
      </c>
      <c r="H93" s="12"/>
      <c r="I93" s="12">
        <v>2060.86</v>
      </c>
      <c r="J93" s="12">
        <v>15338</v>
      </c>
      <c r="K93" s="13">
        <v>15980</v>
      </c>
      <c r="L93" s="15">
        <f t="shared" si="2"/>
        <v>642</v>
      </c>
      <c r="M93" s="12">
        <v>1335.3600000000001</v>
      </c>
      <c r="N93" s="17">
        <v>300</v>
      </c>
      <c r="O93" s="27">
        <v>3096.22</v>
      </c>
      <c r="P93">
        <v>15980</v>
      </c>
      <c r="Q93">
        <v>16555</v>
      </c>
      <c r="R93">
        <v>575</v>
      </c>
      <c r="S93">
        <v>1196</v>
      </c>
      <c r="T93">
        <v>5000</v>
      </c>
      <c r="U93">
        <v>-707.78</v>
      </c>
    </row>
    <row r="94" spans="1:21">
      <c r="A94" s="6">
        <v>91</v>
      </c>
      <c r="B94" s="12">
        <v>329</v>
      </c>
      <c r="C94" s="12">
        <v>329</v>
      </c>
      <c r="D94" s="12">
        <v>329</v>
      </c>
      <c r="E94" s="12">
        <v>329</v>
      </c>
      <c r="F94" s="12">
        <v>0</v>
      </c>
      <c r="G94" s="12">
        <v>0</v>
      </c>
      <c r="H94" s="12"/>
      <c r="I94" s="12">
        <v>261.27999999999997</v>
      </c>
      <c r="J94" s="12">
        <v>329</v>
      </c>
      <c r="K94" s="13">
        <f t="shared" si="4"/>
        <v>329</v>
      </c>
      <c r="L94" s="15">
        <f t="shared" si="2"/>
        <v>0</v>
      </c>
      <c r="M94" s="12">
        <v>0</v>
      </c>
      <c r="N94" s="16"/>
      <c r="O94" s="27">
        <v>261.27999999999997</v>
      </c>
      <c r="P94">
        <v>329</v>
      </c>
      <c r="Q94">
        <v>329</v>
      </c>
      <c r="R94">
        <v>0</v>
      </c>
      <c r="S94">
        <v>0</v>
      </c>
      <c r="U94">
        <v>261.27999999999997</v>
      </c>
    </row>
    <row r="95" spans="1:21">
      <c r="A95" s="7">
        <v>92</v>
      </c>
      <c r="B95" s="12">
        <v>1309</v>
      </c>
      <c r="C95" s="12">
        <v>1309</v>
      </c>
      <c r="D95" s="12">
        <v>1309</v>
      </c>
      <c r="E95" s="12">
        <v>1309</v>
      </c>
      <c r="F95" s="12">
        <v>0</v>
      </c>
      <c r="G95" s="12">
        <v>0</v>
      </c>
      <c r="H95" s="12"/>
      <c r="I95" s="12">
        <v>123.05</v>
      </c>
      <c r="J95" s="12">
        <v>1309</v>
      </c>
      <c r="K95" s="13">
        <v>1309</v>
      </c>
      <c r="L95" s="15">
        <f t="shared" si="2"/>
        <v>0</v>
      </c>
      <c r="M95" s="12">
        <v>0</v>
      </c>
      <c r="N95" s="14"/>
      <c r="O95" s="27">
        <v>123.04999999999954</v>
      </c>
      <c r="P95">
        <v>1309</v>
      </c>
      <c r="Q95">
        <v>1309</v>
      </c>
      <c r="R95">
        <v>0</v>
      </c>
      <c r="S95">
        <v>0</v>
      </c>
      <c r="U95">
        <v>123.05</v>
      </c>
    </row>
    <row r="96" spans="1:21">
      <c r="A96" s="6">
        <v>93</v>
      </c>
      <c r="B96" s="12">
        <v>15180</v>
      </c>
      <c r="C96" s="12">
        <v>15571</v>
      </c>
      <c r="D96" s="12">
        <v>15180</v>
      </c>
      <c r="E96" s="12">
        <v>15571</v>
      </c>
      <c r="F96" s="12">
        <v>391</v>
      </c>
      <c r="G96" s="12">
        <v>813.28</v>
      </c>
      <c r="H96" s="12">
        <v>820</v>
      </c>
      <c r="I96" s="12">
        <v>-9.720000000000482</v>
      </c>
      <c r="J96" s="12">
        <v>15571</v>
      </c>
      <c r="K96" s="13">
        <v>15811</v>
      </c>
      <c r="L96" s="15">
        <f t="shared" si="2"/>
        <v>240</v>
      </c>
      <c r="M96" s="12">
        <v>499.20000000000005</v>
      </c>
      <c r="N96" s="16">
        <v>490</v>
      </c>
      <c r="O96" s="27">
        <v>-0.52000000000043656</v>
      </c>
      <c r="P96">
        <v>15811</v>
      </c>
      <c r="Q96">
        <v>16155</v>
      </c>
      <c r="R96">
        <v>344</v>
      </c>
      <c r="S96">
        <v>715.52</v>
      </c>
      <c r="U96">
        <v>715</v>
      </c>
    </row>
    <row r="97" spans="1:21">
      <c r="A97" s="6">
        <v>94</v>
      </c>
      <c r="B97" s="12">
        <v>308</v>
      </c>
      <c r="C97" s="12">
        <v>308</v>
      </c>
      <c r="D97" s="12">
        <v>308</v>
      </c>
      <c r="E97" s="12">
        <v>308</v>
      </c>
      <c r="F97" s="12">
        <v>0</v>
      </c>
      <c r="G97" s="12">
        <v>0</v>
      </c>
      <c r="H97" s="12"/>
      <c r="I97" s="12">
        <v>-31.64</v>
      </c>
      <c r="J97" s="12">
        <v>308</v>
      </c>
      <c r="K97" s="13">
        <v>308</v>
      </c>
      <c r="L97" s="15">
        <f t="shared" si="2"/>
        <v>0</v>
      </c>
      <c r="M97" s="12">
        <v>0</v>
      </c>
      <c r="N97" s="16"/>
      <c r="O97" s="27">
        <v>-31.639999999999965</v>
      </c>
      <c r="P97">
        <v>308</v>
      </c>
      <c r="Q97">
        <v>308</v>
      </c>
      <c r="R97">
        <v>0</v>
      </c>
      <c r="S97">
        <v>0</v>
      </c>
      <c r="U97">
        <v>-31.64</v>
      </c>
    </row>
    <row r="98" spans="1:21">
      <c r="A98" s="6">
        <v>95</v>
      </c>
      <c r="B98" s="12">
        <v>0</v>
      </c>
      <c r="C98" s="12"/>
      <c r="D98" s="12">
        <v>0</v>
      </c>
      <c r="E98" s="12"/>
      <c r="F98" s="12">
        <v>0</v>
      </c>
      <c r="G98" s="12">
        <v>0</v>
      </c>
      <c r="H98" s="12"/>
      <c r="I98" s="12">
        <v>0</v>
      </c>
      <c r="J98" s="12">
        <v>0</v>
      </c>
      <c r="K98" s="13">
        <f t="shared" ref="K98:K105" si="5">J98</f>
        <v>0</v>
      </c>
      <c r="L98" s="15">
        <f t="shared" si="2"/>
        <v>0</v>
      </c>
      <c r="M98" s="12">
        <v>0</v>
      </c>
      <c r="N98" s="16"/>
      <c r="O98" s="27">
        <v>0</v>
      </c>
      <c r="P98">
        <v>0</v>
      </c>
      <c r="R98">
        <v>0</v>
      </c>
      <c r="S98">
        <v>0</v>
      </c>
      <c r="U98">
        <v>0</v>
      </c>
    </row>
    <row r="99" spans="1:21">
      <c r="A99" s="6">
        <v>96</v>
      </c>
      <c r="B99" s="12">
        <v>0</v>
      </c>
      <c r="C99" s="12"/>
      <c r="D99" s="12">
        <v>0</v>
      </c>
      <c r="E99" s="12"/>
      <c r="F99" s="12">
        <v>0</v>
      </c>
      <c r="G99" s="12">
        <v>0</v>
      </c>
      <c r="H99" s="12"/>
      <c r="I99" s="12">
        <v>0</v>
      </c>
      <c r="J99" s="12">
        <v>0</v>
      </c>
      <c r="K99" s="13">
        <f t="shared" si="5"/>
        <v>0</v>
      </c>
      <c r="L99" s="15">
        <f t="shared" si="2"/>
        <v>0</v>
      </c>
      <c r="M99" s="12">
        <v>0</v>
      </c>
      <c r="N99" s="16"/>
      <c r="O99" s="27">
        <v>0</v>
      </c>
      <c r="P99">
        <v>0</v>
      </c>
      <c r="R99">
        <v>0</v>
      </c>
      <c r="S99">
        <v>0</v>
      </c>
      <c r="U99">
        <v>0</v>
      </c>
    </row>
    <row r="100" spans="1:21">
      <c r="A100" s="6">
        <v>97</v>
      </c>
      <c r="B100" s="12">
        <v>0</v>
      </c>
      <c r="C100" s="12"/>
      <c r="D100" s="12">
        <v>0</v>
      </c>
      <c r="E100" s="12"/>
      <c r="F100" s="12">
        <v>0</v>
      </c>
      <c r="G100" s="12">
        <v>0</v>
      </c>
      <c r="H100" s="12"/>
      <c r="I100" s="12">
        <v>0</v>
      </c>
      <c r="J100" s="12">
        <v>0</v>
      </c>
      <c r="K100" s="13">
        <f t="shared" si="5"/>
        <v>0</v>
      </c>
      <c r="L100" s="15">
        <f t="shared" si="2"/>
        <v>0</v>
      </c>
      <c r="M100" s="12">
        <v>0</v>
      </c>
      <c r="N100" s="16"/>
      <c r="O100" s="27">
        <v>0</v>
      </c>
      <c r="P100">
        <v>0</v>
      </c>
      <c r="R100">
        <v>0</v>
      </c>
      <c r="S100">
        <v>0</v>
      </c>
      <c r="U100">
        <v>0</v>
      </c>
    </row>
    <row r="101" spans="1:21">
      <c r="A101" s="6">
        <v>98</v>
      </c>
      <c r="B101" s="12">
        <v>1137</v>
      </c>
      <c r="C101" s="12">
        <v>1137</v>
      </c>
      <c r="D101" s="12">
        <v>1137</v>
      </c>
      <c r="E101" s="12">
        <v>1137</v>
      </c>
      <c r="F101" s="12">
        <v>0</v>
      </c>
      <c r="G101" s="12">
        <v>0</v>
      </c>
      <c r="H101" s="12"/>
      <c r="I101" s="12">
        <v>339.31</v>
      </c>
      <c r="J101" s="12">
        <v>1137</v>
      </c>
      <c r="K101" s="13">
        <v>1137</v>
      </c>
      <c r="L101" s="15">
        <f t="shared" si="2"/>
        <v>0</v>
      </c>
      <c r="M101" s="12">
        <v>0</v>
      </c>
      <c r="N101" s="16"/>
      <c r="O101" s="27">
        <v>339.30999999999983</v>
      </c>
      <c r="P101">
        <v>1137</v>
      </c>
      <c r="Q101">
        <v>1164</v>
      </c>
      <c r="R101">
        <v>27</v>
      </c>
      <c r="S101">
        <v>56.16</v>
      </c>
      <c r="U101">
        <v>395.47</v>
      </c>
    </row>
    <row r="102" spans="1:21">
      <c r="A102" s="6">
        <v>99</v>
      </c>
      <c r="B102" s="12">
        <v>98</v>
      </c>
      <c r="C102" s="12">
        <v>98</v>
      </c>
      <c r="D102" s="12">
        <v>98</v>
      </c>
      <c r="E102" s="12">
        <v>98</v>
      </c>
      <c r="F102" s="12">
        <v>0</v>
      </c>
      <c r="G102" s="12">
        <v>0</v>
      </c>
      <c r="H102" s="12"/>
      <c r="I102" s="12">
        <v>37.840000000000003</v>
      </c>
      <c r="J102" s="12">
        <v>98</v>
      </c>
      <c r="K102" s="13">
        <v>98</v>
      </c>
      <c r="L102" s="15">
        <f t="shared" si="2"/>
        <v>0</v>
      </c>
      <c r="M102" s="12">
        <v>0</v>
      </c>
      <c r="N102" s="14"/>
      <c r="O102" s="27">
        <v>37.840000000000018</v>
      </c>
      <c r="P102">
        <v>98</v>
      </c>
      <c r="Q102">
        <v>98</v>
      </c>
      <c r="R102">
        <v>0</v>
      </c>
      <c r="S102">
        <v>0</v>
      </c>
      <c r="U102">
        <v>37.840000000000003</v>
      </c>
    </row>
    <row r="103" spans="1:21">
      <c r="A103" s="6">
        <v>100</v>
      </c>
      <c r="B103" s="12">
        <v>0</v>
      </c>
      <c r="C103" s="12"/>
      <c r="D103" s="12">
        <v>0</v>
      </c>
      <c r="E103" s="12"/>
      <c r="F103" s="12">
        <v>0</v>
      </c>
      <c r="G103" s="12">
        <v>0</v>
      </c>
      <c r="H103" s="12"/>
      <c r="I103" s="12">
        <v>0</v>
      </c>
      <c r="J103" s="12">
        <v>0</v>
      </c>
      <c r="K103" s="13">
        <f t="shared" si="5"/>
        <v>0</v>
      </c>
      <c r="L103" s="15">
        <f t="shared" si="2"/>
        <v>0</v>
      </c>
      <c r="M103" s="12">
        <v>0</v>
      </c>
      <c r="N103" s="16"/>
      <c r="O103" s="27">
        <v>0</v>
      </c>
      <c r="P103">
        <v>0</v>
      </c>
      <c r="R103">
        <v>0</v>
      </c>
      <c r="S103">
        <v>0</v>
      </c>
      <c r="U103">
        <v>0</v>
      </c>
    </row>
    <row r="104" spans="1:21">
      <c r="A104" s="6">
        <v>101</v>
      </c>
      <c r="B104" s="12">
        <v>73</v>
      </c>
      <c r="C104" s="12">
        <v>73</v>
      </c>
      <c r="D104" s="12">
        <v>73</v>
      </c>
      <c r="E104" s="12">
        <v>73</v>
      </c>
      <c r="F104" s="12">
        <v>0</v>
      </c>
      <c r="G104" s="12">
        <v>0</v>
      </c>
      <c r="H104" s="12"/>
      <c r="I104" s="12">
        <v>146.80000000000001</v>
      </c>
      <c r="J104" s="12">
        <v>73</v>
      </c>
      <c r="K104" s="13">
        <f t="shared" si="5"/>
        <v>73</v>
      </c>
      <c r="L104" s="15">
        <f t="shared" si="2"/>
        <v>0</v>
      </c>
      <c r="M104" s="12">
        <v>0</v>
      </c>
      <c r="N104" s="16"/>
      <c r="O104" s="27">
        <v>146.80000000000001</v>
      </c>
      <c r="P104">
        <v>73</v>
      </c>
      <c r="Q104">
        <v>73</v>
      </c>
      <c r="R104">
        <v>0</v>
      </c>
      <c r="S104">
        <v>0</v>
      </c>
      <c r="U104">
        <v>146.80000000000001</v>
      </c>
    </row>
    <row r="105" spans="1:21">
      <c r="A105" s="6">
        <v>102</v>
      </c>
      <c r="B105" s="12">
        <v>26</v>
      </c>
      <c r="C105" s="12">
        <v>26</v>
      </c>
      <c r="D105" s="12">
        <v>26</v>
      </c>
      <c r="E105" s="12">
        <v>26</v>
      </c>
      <c r="F105" s="12">
        <v>0</v>
      </c>
      <c r="G105" s="12">
        <v>0</v>
      </c>
      <c r="H105" s="12"/>
      <c r="I105" s="12">
        <v>-80.099999999999994</v>
      </c>
      <c r="J105" s="12">
        <v>26</v>
      </c>
      <c r="K105" s="13">
        <f t="shared" si="5"/>
        <v>26</v>
      </c>
      <c r="L105" s="15">
        <f t="shared" si="2"/>
        <v>0</v>
      </c>
      <c r="M105" s="12">
        <v>0</v>
      </c>
      <c r="N105" s="16"/>
      <c r="O105" s="27">
        <v>-80.100000000000009</v>
      </c>
      <c r="P105">
        <v>26</v>
      </c>
      <c r="Q105">
        <v>26</v>
      </c>
      <c r="R105">
        <v>0</v>
      </c>
      <c r="S105">
        <v>0</v>
      </c>
      <c r="U105">
        <v>-80.099999999999994</v>
      </c>
    </row>
    <row r="106" spans="1:21">
      <c r="A106" s="6">
        <v>103</v>
      </c>
      <c r="B106" s="12">
        <v>38727</v>
      </c>
      <c r="C106" s="12">
        <v>39375</v>
      </c>
      <c r="D106" s="12">
        <v>38727</v>
      </c>
      <c r="E106" s="12">
        <v>39375</v>
      </c>
      <c r="F106" s="12">
        <v>648</v>
      </c>
      <c r="G106" s="12">
        <v>1347.84</v>
      </c>
      <c r="H106" s="12"/>
      <c r="I106" s="12">
        <v>1347.09</v>
      </c>
      <c r="J106" s="12">
        <v>39401</v>
      </c>
      <c r="K106" s="13">
        <v>39812</v>
      </c>
      <c r="L106" s="15">
        <f t="shared" si="2"/>
        <v>411</v>
      </c>
      <c r="M106" s="12">
        <v>854.88</v>
      </c>
      <c r="N106" s="17">
        <v>1320</v>
      </c>
      <c r="O106" s="27">
        <v>4.999999999836291E-2</v>
      </c>
      <c r="P106">
        <v>39812</v>
      </c>
      <c r="Q106">
        <v>40258</v>
      </c>
      <c r="R106">
        <v>446</v>
      </c>
      <c r="S106">
        <v>927.68</v>
      </c>
      <c r="T106">
        <v>1393</v>
      </c>
      <c r="U106">
        <v>-0.27</v>
      </c>
    </row>
    <row r="107" spans="1:21">
      <c r="A107" s="6">
        <v>104</v>
      </c>
      <c r="B107" s="12">
        <v>159232</v>
      </c>
      <c r="C107" s="12">
        <v>162200</v>
      </c>
      <c r="D107" s="12">
        <v>159232</v>
      </c>
      <c r="E107" s="12">
        <v>162200</v>
      </c>
      <c r="F107" s="12">
        <v>2968</v>
      </c>
      <c r="G107" s="12">
        <v>6173.44</v>
      </c>
      <c r="H107" s="12"/>
      <c r="I107" s="12">
        <v>60205.95</v>
      </c>
      <c r="J107" s="12">
        <v>162200</v>
      </c>
      <c r="K107" s="13">
        <v>164502</v>
      </c>
      <c r="L107" s="15">
        <f t="shared" si="2"/>
        <v>2302</v>
      </c>
      <c r="M107" s="12">
        <v>4788.16</v>
      </c>
      <c r="N107" s="19">
        <f>3000+2700</f>
        <v>5700</v>
      </c>
      <c r="O107" s="27">
        <v>59294.11</v>
      </c>
      <c r="P107">
        <v>164502</v>
      </c>
      <c r="Q107">
        <v>166008</v>
      </c>
      <c r="R107">
        <v>1506</v>
      </c>
      <c r="S107">
        <v>3132.48</v>
      </c>
      <c r="T107">
        <v>0</v>
      </c>
      <c r="U107">
        <v>62426.59</v>
      </c>
    </row>
    <row r="108" spans="1:21">
      <c r="A108" s="6">
        <v>105</v>
      </c>
      <c r="B108" s="12">
        <v>985</v>
      </c>
      <c r="C108" s="12">
        <v>985</v>
      </c>
      <c r="D108" s="12">
        <v>985</v>
      </c>
      <c r="E108" s="12">
        <v>985</v>
      </c>
      <c r="F108" s="12">
        <v>0</v>
      </c>
      <c r="G108" s="12">
        <v>0</v>
      </c>
      <c r="H108" s="12"/>
      <c r="I108" s="12">
        <v>-448</v>
      </c>
      <c r="J108" s="12">
        <v>985</v>
      </c>
      <c r="K108" s="13">
        <v>985</v>
      </c>
      <c r="L108" s="15">
        <f t="shared" si="2"/>
        <v>0</v>
      </c>
      <c r="M108" s="12">
        <v>0</v>
      </c>
      <c r="N108" s="16"/>
      <c r="O108" s="27">
        <v>-447.99999999999989</v>
      </c>
      <c r="P108">
        <v>985</v>
      </c>
      <c r="Q108">
        <v>985</v>
      </c>
      <c r="R108">
        <v>0</v>
      </c>
      <c r="S108">
        <v>0</v>
      </c>
      <c r="U108">
        <v>-448</v>
      </c>
    </row>
    <row r="109" spans="1:21">
      <c r="A109" s="6">
        <v>106</v>
      </c>
      <c r="B109" s="12">
        <v>0</v>
      </c>
      <c r="C109" s="12"/>
      <c r="D109" s="12">
        <v>0</v>
      </c>
      <c r="E109" s="12"/>
      <c r="F109" s="12">
        <v>0</v>
      </c>
      <c r="G109" s="12">
        <v>0</v>
      </c>
      <c r="H109" s="12"/>
      <c r="I109" s="12">
        <v>0</v>
      </c>
      <c r="J109" s="12">
        <v>0</v>
      </c>
      <c r="K109" s="13">
        <f>J109</f>
        <v>0</v>
      </c>
      <c r="L109" s="15">
        <f t="shared" si="2"/>
        <v>0</v>
      </c>
      <c r="M109" s="12">
        <v>0</v>
      </c>
      <c r="N109" s="14"/>
      <c r="O109" s="27">
        <v>0</v>
      </c>
      <c r="P109">
        <v>0</v>
      </c>
      <c r="R109">
        <v>0</v>
      </c>
      <c r="S109">
        <v>0</v>
      </c>
      <c r="U109">
        <v>0</v>
      </c>
    </row>
    <row r="110" spans="1:21">
      <c r="A110" s="6">
        <v>107</v>
      </c>
      <c r="B110" s="12">
        <v>0</v>
      </c>
      <c r="C110" s="12"/>
      <c r="D110" s="12">
        <v>0</v>
      </c>
      <c r="E110" s="12"/>
      <c r="F110" s="12">
        <v>0</v>
      </c>
      <c r="G110" s="12">
        <v>0</v>
      </c>
      <c r="H110" s="12"/>
      <c r="I110" s="12">
        <v>0</v>
      </c>
      <c r="J110" s="12">
        <v>0</v>
      </c>
      <c r="K110" s="13">
        <f>J110</f>
        <v>0</v>
      </c>
      <c r="L110" s="15">
        <f t="shared" si="2"/>
        <v>0</v>
      </c>
      <c r="M110" s="12">
        <v>0</v>
      </c>
      <c r="N110" s="16"/>
      <c r="O110" s="27">
        <v>0</v>
      </c>
      <c r="P110">
        <v>0</v>
      </c>
      <c r="R110">
        <v>0</v>
      </c>
      <c r="S110">
        <v>0</v>
      </c>
      <c r="U110">
        <v>0</v>
      </c>
    </row>
    <row r="111" spans="1:21">
      <c r="A111" s="6">
        <v>108</v>
      </c>
      <c r="B111" s="12">
        <v>22</v>
      </c>
      <c r="C111" s="12">
        <v>22</v>
      </c>
      <c r="D111" s="12">
        <v>22</v>
      </c>
      <c r="E111" s="12">
        <v>22</v>
      </c>
      <c r="F111" s="12">
        <v>0</v>
      </c>
      <c r="G111" s="12">
        <v>0</v>
      </c>
      <c r="H111" s="12"/>
      <c r="I111" s="12">
        <v>-160.46</v>
      </c>
      <c r="J111" s="12">
        <v>22</v>
      </c>
      <c r="K111" s="13">
        <f>J111</f>
        <v>22</v>
      </c>
      <c r="L111" s="15">
        <f t="shared" si="2"/>
        <v>0</v>
      </c>
      <c r="M111" s="12">
        <v>0</v>
      </c>
      <c r="N111" s="16"/>
      <c r="O111" s="27">
        <v>-160.46</v>
      </c>
      <c r="P111">
        <v>22</v>
      </c>
      <c r="Q111">
        <v>22</v>
      </c>
      <c r="R111">
        <v>0</v>
      </c>
      <c r="S111">
        <v>0</v>
      </c>
      <c r="U111">
        <v>-160.46</v>
      </c>
    </row>
    <row r="112" spans="1:21">
      <c r="A112" s="6">
        <v>109</v>
      </c>
      <c r="B112" s="12">
        <v>2738</v>
      </c>
      <c r="C112" s="12">
        <v>2738</v>
      </c>
      <c r="D112" s="12">
        <v>2738</v>
      </c>
      <c r="E112" s="12">
        <v>2738</v>
      </c>
      <c r="F112" s="12">
        <v>0</v>
      </c>
      <c r="G112" s="12">
        <v>0</v>
      </c>
      <c r="H112" s="12"/>
      <c r="I112" s="12">
        <v>-684.3</v>
      </c>
      <c r="J112" s="12">
        <v>2738</v>
      </c>
      <c r="K112" s="13">
        <f>J112</f>
        <v>2738</v>
      </c>
      <c r="L112" s="15">
        <f t="shared" si="2"/>
        <v>0</v>
      </c>
      <c r="M112" s="12">
        <v>0</v>
      </c>
      <c r="N112" s="16"/>
      <c r="O112" s="27">
        <v>-684.30000000000041</v>
      </c>
      <c r="P112">
        <v>2738</v>
      </c>
      <c r="Q112">
        <v>2738</v>
      </c>
      <c r="R112">
        <v>0</v>
      </c>
      <c r="S112">
        <v>0</v>
      </c>
      <c r="U112">
        <v>-684.3</v>
      </c>
    </row>
    <row r="113" spans="1:21">
      <c r="A113" s="6">
        <v>110</v>
      </c>
      <c r="B113" s="12">
        <v>271</v>
      </c>
      <c r="C113" s="12">
        <v>271</v>
      </c>
      <c r="D113" s="12">
        <v>271</v>
      </c>
      <c r="E113" s="12">
        <v>271</v>
      </c>
      <c r="F113" s="12">
        <v>0</v>
      </c>
      <c r="G113" s="12">
        <v>0</v>
      </c>
      <c r="H113" s="12"/>
      <c r="I113" s="12">
        <v>-1663.43</v>
      </c>
      <c r="J113" s="12">
        <v>271</v>
      </c>
      <c r="K113" s="13">
        <f>J113</f>
        <v>271</v>
      </c>
      <c r="L113" s="15">
        <f t="shared" si="2"/>
        <v>0</v>
      </c>
      <c r="M113" s="12">
        <v>0</v>
      </c>
      <c r="N113" s="16"/>
      <c r="O113" s="27">
        <v>-1663.43</v>
      </c>
      <c r="P113">
        <v>271</v>
      </c>
      <c r="Q113">
        <v>271</v>
      </c>
      <c r="R113">
        <v>0</v>
      </c>
      <c r="S113">
        <v>0</v>
      </c>
      <c r="U113">
        <v>-1663.43</v>
      </c>
    </row>
    <row r="114" spans="1:21">
      <c r="A114" s="6">
        <v>111</v>
      </c>
      <c r="B114" s="12">
        <v>3950</v>
      </c>
      <c r="C114" s="12">
        <v>4182</v>
      </c>
      <c r="D114" s="12">
        <v>3950</v>
      </c>
      <c r="E114" s="12">
        <v>4182</v>
      </c>
      <c r="F114" s="12">
        <v>232</v>
      </c>
      <c r="G114" s="12">
        <v>482.56</v>
      </c>
      <c r="H114" s="12"/>
      <c r="I114" s="12">
        <v>261.66000000000003</v>
      </c>
      <c r="J114" s="12">
        <v>4182</v>
      </c>
      <c r="K114" s="13">
        <v>4367</v>
      </c>
      <c r="L114" s="15">
        <f t="shared" si="2"/>
        <v>185</v>
      </c>
      <c r="M114" s="12">
        <v>384.8</v>
      </c>
      <c r="N114" s="16"/>
      <c r="O114" s="27">
        <v>646.45999999999958</v>
      </c>
      <c r="P114">
        <v>4367</v>
      </c>
      <c r="Q114">
        <v>4563</v>
      </c>
      <c r="R114">
        <v>196</v>
      </c>
      <c r="S114">
        <v>407.68</v>
      </c>
      <c r="U114">
        <v>1054.1400000000001</v>
      </c>
    </row>
    <row r="115" spans="1:21">
      <c r="A115" s="6">
        <v>112</v>
      </c>
      <c r="B115" s="12">
        <v>2347</v>
      </c>
      <c r="C115" s="12">
        <v>2448</v>
      </c>
      <c r="D115" s="12">
        <v>2347</v>
      </c>
      <c r="E115" s="12">
        <v>2448</v>
      </c>
      <c r="F115" s="12">
        <v>101</v>
      </c>
      <c r="G115" s="12">
        <v>210.08</v>
      </c>
      <c r="H115" s="12"/>
      <c r="I115" s="12">
        <v>4922.8</v>
      </c>
      <c r="J115" s="12">
        <v>2448</v>
      </c>
      <c r="K115" s="13">
        <v>2530</v>
      </c>
      <c r="L115" s="15">
        <f t="shared" si="2"/>
        <v>82</v>
      </c>
      <c r="M115" s="12">
        <v>170.56</v>
      </c>
      <c r="N115" s="16"/>
      <c r="O115" s="27">
        <v>5093.3600000000015</v>
      </c>
      <c r="P115">
        <v>2530</v>
      </c>
      <c r="Q115">
        <v>2592</v>
      </c>
      <c r="R115">
        <v>62</v>
      </c>
      <c r="S115">
        <v>128.96</v>
      </c>
      <c r="U115">
        <v>5222.32</v>
      </c>
    </row>
    <row r="116" spans="1:21">
      <c r="A116" s="6">
        <v>113</v>
      </c>
      <c r="B116" s="12">
        <v>101</v>
      </c>
      <c r="C116" s="12">
        <v>101</v>
      </c>
      <c r="D116" s="12">
        <v>101</v>
      </c>
      <c r="E116" s="12">
        <v>101</v>
      </c>
      <c r="F116" s="12">
        <v>0</v>
      </c>
      <c r="G116" s="12">
        <v>0</v>
      </c>
      <c r="H116" s="12"/>
      <c r="I116" s="12">
        <v>188.87</v>
      </c>
      <c r="J116" s="12">
        <v>101</v>
      </c>
      <c r="K116" s="13">
        <f t="shared" ref="K116:K124" si="6">J116</f>
        <v>101</v>
      </c>
      <c r="L116" s="15">
        <f t="shared" si="2"/>
        <v>0</v>
      </c>
      <c r="M116" s="12">
        <v>0</v>
      </c>
      <c r="N116" s="14"/>
      <c r="O116" s="27">
        <v>188.87</v>
      </c>
      <c r="P116">
        <v>101</v>
      </c>
      <c r="Q116">
        <v>101</v>
      </c>
      <c r="R116">
        <v>0</v>
      </c>
      <c r="S116">
        <v>0</v>
      </c>
      <c r="U116">
        <v>188.87</v>
      </c>
    </row>
    <row r="117" spans="1:21">
      <c r="A117" s="6">
        <v>114</v>
      </c>
      <c r="B117" s="12">
        <v>0</v>
      </c>
      <c r="C117" s="12"/>
      <c r="D117" s="12">
        <v>0</v>
      </c>
      <c r="E117" s="12"/>
      <c r="F117" s="12">
        <v>0</v>
      </c>
      <c r="G117" s="12">
        <v>0</v>
      </c>
      <c r="H117" s="12"/>
      <c r="I117" s="12">
        <v>0</v>
      </c>
      <c r="J117" s="12">
        <v>0</v>
      </c>
      <c r="K117" s="13">
        <f t="shared" si="6"/>
        <v>0</v>
      </c>
      <c r="L117" s="15">
        <f t="shared" si="2"/>
        <v>0</v>
      </c>
      <c r="M117" s="12">
        <v>0</v>
      </c>
      <c r="N117" s="16"/>
      <c r="O117" s="27">
        <v>0</v>
      </c>
      <c r="P117">
        <v>0</v>
      </c>
      <c r="R117">
        <v>0</v>
      </c>
      <c r="S117">
        <v>0</v>
      </c>
      <c r="U117">
        <v>0</v>
      </c>
    </row>
    <row r="118" spans="1:21">
      <c r="A118" s="6">
        <v>115</v>
      </c>
      <c r="B118" s="12">
        <v>5488</v>
      </c>
      <c r="C118" s="12">
        <v>5763</v>
      </c>
      <c r="D118" s="12">
        <v>5488</v>
      </c>
      <c r="E118" s="12">
        <v>5763</v>
      </c>
      <c r="F118" s="12">
        <v>275</v>
      </c>
      <c r="G118" s="12">
        <v>572</v>
      </c>
      <c r="H118" s="12"/>
      <c r="I118" s="12">
        <v>1701.76</v>
      </c>
      <c r="J118" s="12">
        <v>5763</v>
      </c>
      <c r="K118" s="13">
        <v>6063</v>
      </c>
      <c r="L118" s="15">
        <f t="shared" si="2"/>
        <v>300</v>
      </c>
      <c r="M118" s="12">
        <v>624</v>
      </c>
      <c r="N118" s="16"/>
      <c r="O118" s="27">
        <v>2325.7599999999993</v>
      </c>
      <c r="P118">
        <v>6063</v>
      </c>
      <c r="Q118">
        <v>6338</v>
      </c>
      <c r="R118">
        <v>275</v>
      </c>
      <c r="S118">
        <v>572</v>
      </c>
      <c r="T118">
        <v>2350</v>
      </c>
      <c r="U118">
        <v>547.76</v>
      </c>
    </row>
    <row r="119" spans="1:21">
      <c r="A119" s="6">
        <v>116</v>
      </c>
      <c r="B119" s="12">
        <v>12645</v>
      </c>
      <c r="C119" s="12">
        <v>12740</v>
      </c>
      <c r="D119" s="12">
        <v>12645</v>
      </c>
      <c r="E119" s="12">
        <v>12740</v>
      </c>
      <c r="F119" s="12">
        <v>95</v>
      </c>
      <c r="G119" s="12">
        <v>197.6</v>
      </c>
      <c r="H119" s="12"/>
      <c r="I119" s="12">
        <v>928.65</v>
      </c>
      <c r="J119" s="12">
        <v>12740</v>
      </c>
      <c r="K119" s="13">
        <v>12917</v>
      </c>
      <c r="L119" s="15">
        <f t="shared" si="2"/>
        <v>177</v>
      </c>
      <c r="M119" s="12">
        <v>368.16</v>
      </c>
      <c r="N119" s="16"/>
      <c r="O119" s="27">
        <v>1296.8100000000011</v>
      </c>
      <c r="P119">
        <v>12917</v>
      </c>
      <c r="Q119">
        <v>13097</v>
      </c>
      <c r="R119">
        <v>180</v>
      </c>
      <c r="S119">
        <v>374.4</v>
      </c>
      <c r="U119">
        <v>1671.21</v>
      </c>
    </row>
    <row r="120" spans="1:21">
      <c r="A120" s="5">
        <v>117</v>
      </c>
      <c r="B120" s="12">
        <v>0</v>
      </c>
      <c r="C120" s="12"/>
      <c r="D120" s="12">
        <v>0</v>
      </c>
      <c r="E120" s="12"/>
      <c r="F120" s="12">
        <v>0</v>
      </c>
      <c r="G120" s="12">
        <v>0</v>
      </c>
      <c r="H120" s="12"/>
      <c r="I120" s="12">
        <v>0</v>
      </c>
      <c r="J120" s="12">
        <v>0</v>
      </c>
      <c r="K120" s="13">
        <f t="shared" si="6"/>
        <v>0</v>
      </c>
      <c r="L120" s="15">
        <f t="shared" si="2"/>
        <v>0</v>
      </c>
      <c r="M120" s="12">
        <v>0</v>
      </c>
      <c r="N120" s="16"/>
      <c r="O120" s="27">
        <v>0</v>
      </c>
      <c r="P120">
        <v>0</v>
      </c>
      <c r="R120">
        <v>0</v>
      </c>
      <c r="S120">
        <v>0</v>
      </c>
      <c r="U120">
        <v>0</v>
      </c>
    </row>
    <row r="121" spans="1:21">
      <c r="A121" s="6">
        <v>118</v>
      </c>
      <c r="B121" s="12">
        <v>0</v>
      </c>
      <c r="C121" s="12"/>
      <c r="D121" s="12">
        <v>0</v>
      </c>
      <c r="E121" s="12"/>
      <c r="F121" s="12">
        <v>0</v>
      </c>
      <c r="G121" s="12">
        <v>0</v>
      </c>
      <c r="H121" s="12"/>
      <c r="I121" s="12">
        <v>0</v>
      </c>
      <c r="J121" s="12">
        <v>0</v>
      </c>
      <c r="K121" s="13">
        <f t="shared" si="6"/>
        <v>0</v>
      </c>
      <c r="L121" s="15">
        <f t="shared" si="2"/>
        <v>0</v>
      </c>
      <c r="M121" s="12">
        <v>0</v>
      </c>
      <c r="N121" s="16"/>
      <c r="O121" s="27">
        <v>0</v>
      </c>
      <c r="P121">
        <v>0</v>
      </c>
      <c r="R121">
        <v>0</v>
      </c>
      <c r="S121">
        <v>0</v>
      </c>
      <c r="U121">
        <v>0</v>
      </c>
    </row>
    <row r="122" spans="1:21">
      <c r="A122" s="6">
        <v>119</v>
      </c>
      <c r="B122" s="12">
        <v>0</v>
      </c>
      <c r="C122" s="12"/>
      <c r="D122" s="12">
        <v>0</v>
      </c>
      <c r="E122" s="12"/>
      <c r="F122" s="12">
        <v>0</v>
      </c>
      <c r="G122" s="12">
        <v>0</v>
      </c>
      <c r="H122" s="12"/>
      <c r="I122" s="12">
        <v>0</v>
      </c>
      <c r="J122" s="12">
        <v>0</v>
      </c>
      <c r="K122" s="13">
        <f t="shared" si="6"/>
        <v>0</v>
      </c>
      <c r="L122" s="15">
        <f t="shared" si="2"/>
        <v>0</v>
      </c>
      <c r="M122" s="12">
        <v>0</v>
      </c>
      <c r="N122" s="16"/>
      <c r="O122" s="27">
        <v>0</v>
      </c>
      <c r="P122">
        <v>0</v>
      </c>
      <c r="R122">
        <v>0</v>
      </c>
      <c r="S122">
        <v>0</v>
      </c>
      <c r="U122">
        <v>0</v>
      </c>
    </row>
    <row r="123" spans="1:21">
      <c r="A123" s="6">
        <v>120</v>
      </c>
      <c r="B123" s="12">
        <v>0</v>
      </c>
      <c r="C123" s="12"/>
      <c r="D123" s="12">
        <v>0</v>
      </c>
      <c r="E123" s="12"/>
      <c r="F123" s="12">
        <v>0</v>
      </c>
      <c r="G123" s="12">
        <v>0</v>
      </c>
      <c r="H123" s="12"/>
      <c r="I123" s="12">
        <v>0</v>
      </c>
      <c r="J123" s="12">
        <v>0</v>
      </c>
      <c r="K123" s="13">
        <f t="shared" si="6"/>
        <v>0</v>
      </c>
      <c r="L123" s="15">
        <f t="shared" si="2"/>
        <v>0</v>
      </c>
      <c r="M123" s="12">
        <v>0</v>
      </c>
      <c r="N123" s="14"/>
      <c r="O123" s="27">
        <v>0</v>
      </c>
      <c r="P123">
        <v>0</v>
      </c>
      <c r="R123">
        <v>0</v>
      </c>
      <c r="S123">
        <v>0</v>
      </c>
      <c r="U123">
        <v>0</v>
      </c>
    </row>
    <row r="124" spans="1:21">
      <c r="A124" s="6">
        <v>121</v>
      </c>
      <c r="B124" s="12">
        <v>13</v>
      </c>
      <c r="C124" s="12">
        <v>13</v>
      </c>
      <c r="D124" s="12">
        <v>13</v>
      </c>
      <c r="E124" s="12">
        <v>13</v>
      </c>
      <c r="F124" s="12">
        <v>0</v>
      </c>
      <c r="G124" s="12">
        <v>0</v>
      </c>
      <c r="H124" s="12"/>
      <c r="I124" s="12">
        <v>-2507.4</v>
      </c>
      <c r="J124" s="12">
        <v>13</v>
      </c>
      <c r="K124" s="13">
        <f t="shared" si="6"/>
        <v>13</v>
      </c>
      <c r="L124" s="15">
        <f t="shared" si="2"/>
        <v>0</v>
      </c>
      <c r="M124" s="12">
        <v>0</v>
      </c>
      <c r="N124" s="16"/>
      <c r="O124" s="27">
        <v>-2507.3999999999996</v>
      </c>
      <c r="P124">
        <v>13</v>
      </c>
      <c r="Q124">
        <v>13</v>
      </c>
      <c r="R124">
        <v>0</v>
      </c>
      <c r="S124">
        <v>0</v>
      </c>
      <c r="U124">
        <v>-2507.4</v>
      </c>
    </row>
    <row r="125" spans="1:21">
      <c r="A125" s="6">
        <v>122</v>
      </c>
      <c r="B125" s="12">
        <v>10380</v>
      </c>
      <c r="C125" s="12">
        <v>10520</v>
      </c>
      <c r="D125" s="12">
        <v>10380</v>
      </c>
      <c r="E125" s="12">
        <v>10520</v>
      </c>
      <c r="F125" s="12">
        <v>140</v>
      </c>
      <c r="G125" s="12">
        <v>291.2</v>
      </c>
      <c r="H125" s="12"/>
      <c r="I125" s="12">
        <v>-1512.79</v>
      </c>
      <c r="J125" s="12">
        <v>10520</v>
      </c>
      <c r="K125" s="13">
        <v>10640</v>
      </c>
      <c r="L125" s="15">
        <f t="shared" si="2"/>
        <v>120</v>
      </c>
      <c r="M125" s="12">
        <v>249.60000000000002</v>
      </c>
      <c r="N125" s="16"/>
      <c r="O125" s="27">
        <v>-1263.1900000000005</v>
      </c>
      <c r="P125">
        <v>10640</v>
      </c>
      <c r="Q125">
        <v>10770</v>
      </c>
      <c r="R125">
        <v>130</v>
      </c>
      <c r="S125">
        <v>270.39999999999998</v>
      </c>
      <c r="U125">
        <v>-992.79</v>
      </c>
    </row>
    <row r="126" spans="1:21">
      <c r="A126" s="6">
        <v>123</v>
      </c>
      <c r="B126" s="12">
        <v>0</v>
      </c>
      <c r="C126" s="12"/>
      <c r="D126" s="12">
        <v>0</v>
      </c>
      <c r="E126" s="12"/>
      <c r="F126" s="12">
        <v>0</v>
      </c>
      <c r="G126" s="12">
        <v>0</v>
      </c>
      <c r="H126" s="12"/>
      <c r="I126" s="12">
        <v>0</v>
      </c>
      <c r="J126" s="12">
        <v>0</v>
      </c>
      <c r="K126" s="13">
        <f t="shared" ref="K126:K152" si="7">J126</f>
        <v>0</v>
      </c>
      <c r="L126" s="15">
        <f t="shared" si="2"/>
        <v>0</v>
      </c>
      <c r="M126" s="12">
        <v>0</v>
      </c>
      <c r="N126" s="16"/>
      <c r="O126" s="27">
        <v>0</v>
      </c>
      <c r="P126">
        <v>0</v>
      </c>
      <c r="R126">
        <v>0</v>
      </c>
      <c r="S126">
        <v>0</v>
      </c>
      <c r="U126">
        <v>0</v>
      </c>
    </row>
    <row r="127" spans="1:21">
      <c r="A127" s="6">
        <v>124</v>
      </c>
      <c r="B127" s="12">
        <v>0</v>
      </c>
      <c r="C127" s="12"/>
      <c r="D127" s="12">
        <v>0</v>
      </c>
      <c r="E127" s="12"/>
      <c r="F127" s="12">
        <v>0</v>
      </c>
      <c r="G127" s="12">
        <v>0</v>
      </c>
      <c r="H127" s="12"/>
      <c r="I127" s="12">
        <v>0</v>
      </c>
      <c r="J127" s="12">
        <v>0</v>
      </c>
      <c r="K127" s="13">
        <f t="shared" si="7"/>
        <v>0</v>
      </c>
      <c r="L127" s="15">
        <f t="shared" si="2"/>
        <v>0</v>
      </c>
      <c r="M127" s="12">
        <v>0</v>
      </c>
      <c r="N127" s="16"/>
      <c r="O127" s="27">
        <v>0</v>
      </c>
      <c r="P127">
        <v>0</v>
      </c>
      <c r="R127">
        <v>0</v>
      </c>
      <c r="S127">
        <v>0</v>
      </c>
      <c r="U127">
        <v>0</v>
      </c>
    </row>
    <row r="128" spans="1:21">
      <c r="A128" s="6">
        <v>125</v>
      </c>
      <c r="B128" s="12">
        <v>16218</v>
      </c>
      <c r="C128" s="12">
        <v>16518</v>
      </c>
      <c r="D128" s="12">
        <v>16218</v>
      </c>
      <c r="E128" s="12">
        <v>16518</v>
      </c>
      <c r="F128" s="12">
        <v>300</v>
      </c>
      <c r="G128" s="12">
        <v>624</v>
      </c>
      <c r="H128" s="12"/>
      <c r="I128" s="12">
        <v>677.23</v>
      </c>
      <c r="J128" s="12">
        <v>16518</v>
      </c>
      <c r="K128" s="13">
        <v>16830</v>
      </c>
      <c r="L128" s="15">
        <f t="shared" si="2"/>
        <v>312</v>
      </c>
      <c r="M128" s="12">
        <v>648.96</v>
      </c>
      <c r="N128" s="16"/>
      <c r="O128" s="27">
        <v>1326.19</v>
      </c>
      <c r="P128">
        <v>16830</v>
      </c>
      <c r="Q128">
        <v>17103</v>
      </c>
      <c r="R128">
        <v>273</v>
      </c>
      <c r="S128">
        <v>567.84</v>
      </c>
      <c r="U128">
        <v>1894.03</v>
      </c>
    </row>
    <row r="129" spans="1:21">
      <c r="A129" s="6">
        <v>126</v>
      </c>
      <c r="B129" s="12">
        <v>4282</v>
      </c>
      <c r="C129" s="12">
        <v>4282</v>
      </c>
      <c r="D129" s="12">
        <v>4282</v>
      </c>
      <c r="E129" s="12">
        <v>4282</v>
      </c>
      <c r="F129" s="12">
        <v>0</v>
      </c>
      <c r="G129" s="12">
        <v>0</v>
      </c>
      <c r="H129" s="12"/>
      <c r="I129" s="12">
        <v>77.98</v>
      </c>
      <c r="J129" s="12">
        <v>4282</v>
      </c>
      <c r="K129" s="13">
        <f t="shared" si="7"/>
        <v>4282</v>
      </c>
      <c r="L129" s="15">
        <f t="shared" si="2"/>
        <v>0</v>
      </c>
      <c r="M129" s="12">
        <v>0</v>
      </c>
      <c r="N129" s="16"/>
      <c r="O129" s="27">
        <v>77.979999999999819</v>
      </c>
      <c r="P129">
        <v>4282</v>
      </c>
      <c r="Q129">
        <v>4284</v>
      </c>
      <c r="R129">
        <v>2</v>
      </c>
      <c r="S129">
        <v>4.16</v>
      </c>
      <c r="U129">
        <v>82.14</v>
      </c>
    </row>
    <row r="130" spans="1:21">
      <c r="A130" s="6">
        <v>127</v>
      </c>
      <c r="B130" s="12">
        <v>0</v>
      </c>
      <c r="C130" s="12"/>
      <c r="D130" s="12">
        <v>0</v>
      </c>
      <c r="E130" s="12"/>
      <c r="F130" s="12">
        <v>0</v>
      </c>
      <c r="G130" s="12">
        <v>0</v>
      </c>
      <c r="H130" s="12"/>
      <c r="I130" s="12">
        <v>0</v>
      </c>
      <c r="J130" s="12">
        <v>0</v>
      </c>
      <c r="K130" s="13">
        <f t="shared" si="7"/>
        <v>0</v>
      </c>
      <c r="L130" s="15">
        <f t="shared" si="2"/>
        <v>0</v>
      </c>
      <c r="M130" s="12">
        <v>0</v>
      </c>
      <c r="N130" s="14"/>
      <c r="O130" s="27">
        <v>0</v>
      </c>
      <c r="P130">
        <v>0</v>
      </c>
      <c r="R130">
        <v>0</v>
      </c>
      <c r="S130">
        <v>0</v>
      </c>
      <c r="U130">
        <v>0</v>
      </c>
    </row>
    <row r="131" spans="1:21">
      <c r="A131" s="6">
        <v>128</v>
      </c>
      <c r="B131" s="12">
        <v>0</v>
      </c>
      <c r="C131" s="12"/>
      <c r="D131" s="12">
        <v>0</v>
      </c>
      <c r="E131" s="12"/>
      <c r="F131" s="12">
        <v>0</v>
      </c>
      <c r="G131" s="12">
        <v>0</v>
      </c>
      <c r="H131" s="12"/>
      <c r="I131" s="12">
        <v>0</v>
      </c>
      <c r="J131" s="12">
        <v>0</v>
      </c>
      <c r="K131" s="13">
        <f t="shared" si="7"/>
        <v>0</v>
      </c>
      <c r="L131" s="15">
        <f t="shared" si="2"/>
        <v>0</v>
      </c>
      <c r="M131" s="12">
        <v>0</v>
      </c>
      <c r="N131" s="16"/>
      <c r="O131" s="27">
        <v>0</v>
      </c>
      <c r="P131">
        <v>0</v>
      </c>
      <c r="R131">
        <v>0</v>
      </c>
      <c r="S131">
        <v>0</v>
      </c>
      <c r="U131">
        <v>0</v>
      </c>
    </row>
    <row r="132" spans="1:21">
      <c r="A132" s="6">
        <v>129</v>
      </c>
      <c r="B132" s="12">
        <v>959</v>
      </c>
      <c r="C132" s="12">
        <v>959</v>
      </c>
      <c r="D132" s="12">
        <v>959</v>
      </c>
      <c r="E132" s="12">
        <v>959</v>
      </c>
      <c r="F132" s="12">
        <v>0</v>
      </c>
      <c r="G132" s="12">
        <v>0</v>
      </c>
      <c r="H132" s="12"/>
      <c r="I132" s="12">
        <v>3.6</v>
      </c>
      <c r="J132" s="12">
        <v>959</v>
      </c>
      <c r="K132" s="13">
        <f t="shared" si="7"/>
        <v>959</v>
      </c>
      <c r="L132" s="15">
        <f t="shared" si="2"/>
        <v>0</v>
      </c>
      <c r="M132" s="12">
        <v>0</v>
      </c>
      <c r="N132" s="16"/>
      <c r="O132" s="27">
        <v>3.6000000000000796</v>
      </c>
      <c r="P132">
        <v>959</v>
      </c>
      <c r="Q132">
        <v>959</v>
      </c>
      <c r="R132">
        <v>0</v>
      </c>
      <c r="S132">
        <v>0</v>
      </c>
      <c r="U132">
        <v>3.6</v>
      </c>
    </row>
    <row r="133" spans="1:21">
      <c r="A133" s="6">
        <v>130</v>
      </c>
      <c r="B133" s="12">
        <v>152</v>
      </c>
      <c r="C133" s="12">
        <v>152</v>
      </c>
      <c r="D133" s="12">
        <v>152</v>
      </c>
      <c r="E133" s="12">
        <v>152</v>
      </c>
      <c r="F133" s="12">
        <v>0</v>
      </c>
      <c r="G133" s="12">
        <v>0</v>
      </c>
      <c r="H133" s="12"/>
      <c r="I133" s="12">
        <v>293.36</v>
      </c>
      <c r="J133" s="12">
        <v>152</v>
      </c>
      <c r="K133" s="13">
        <f t="shared" si="7"/>
        <v>152</v>
      </c>
      <c r="L133" s="15">
        <f t="shared" ref="L133:L198" si="8">K133-J133</f>
        <v>0</v>
      </c>
      <c r="M133" s="12">
        <v>0</v>
      </c>
      <c r="N133" s="16"/>
      <c r="O133" s="27">
        <v>293.36</v>
      </c>
      <c r="P133">
        <v>152</v>
      </c>
      <c r="Q133">
        <v>152</v>
      </c>
      <c r="R133">
        <v>0</v>
      </c>
      <c r="S133">
        <v>0</v>
      </c>
      <c r="U133">
        <v>293.36</v>
      </c>
    </row>
    <row r="134" spans="1:21">
      <c r="A134" s="6">
        <v>131</v>
      </c>
      <c r="B134" s="12">
        <v>0</v>
      </c>
      <c r="C134" s="12"/>
      <c r="D134" s="12">
        <v>0</v>
      </c>
      <c r="E134" s="12"/>
      <c r="F134" s="12">
        <v>0</v>
      </c>
      <c r="G134" s="12">
        <v>0</v>
      </c>
      <c r="H134" s="12"/>
      <c r="I134" s="12">
        <v>0</v>
      </c>
      <c r="J134" s="12">
        <v>0</v>
      </c>
      <c r="K134" s="13">
        <f t="shared" si="7"/>
        <v>0</v>
      </c>
      <c r="L134" s="15">
        <f t="shared" si="8"/>
        <v>0</v>
      </c>
      <c r="M134" s="12">
        <v>0</v>
      </c>
      <c r="N134" s="16"/>
      <c r="O134" s="27">
        <v>0</v>
      </c>
      <c r="P134">
        <v>0</v>
      </c>
      <c r="R134">
        <v>0</v>
      </c>
      <c r="S134">
        <v>0</v>
      </c>
      <c r="U134">
        <v>0</v>
      </c>
    </row>
    <row r="135" spans="1:21">
      <c r="A135" s="6">
        <v>132</v>
      </c>
      <c r="B135" s="12">
        <v>0</v>
      </c>
      <c r="C135" s="12"/>
      <c r="D135" s="12">
        <v>0</v>
      </c>
      <c r="E135" s="12"/>
      <c r="F135" s="12">
        <v>0</v>
      </c>
      <c r="G135" s="12">
        <v>0</v>
      </c>
      <c r="H135" s="12"/>
      <c r="I135" s="12">
        <v>0</v>
      </c>
      <c r="J135" s="12">
        <v>0</v>
      </c>
      <c r="K135" s="13">
        <f t="shared" si="7"/>
        <v>0</v>
      </c>
      <c r="L135" s="15">
        <f t="shared" si="8"/>
        <v>0</v>
      </c>
      <c r="M135" s="12">
        <v>0</v>
      </c>
      <c r="N135" s="16"/>
      <c r="O135" s="27">
        <v>0</v>
      </c>
      <c r="P135">
        <v>0</v>
      </c>
      <c r="R135">
        <v>0</v>
      </c>
      <c r="S135">
        <v>0</v>
      </c>
      <c r="U135">
        <v>0</v>
      </c>
    </row>
    <row r="136" spans="1:21">
      <c r="A136" s="6">
        <v>133</v>
      </c>
      <c r="B136" s="12">
        <v>0</v>
      </c>
      <c r="C136" s="12"/>
      <c r="D136" s="12">
        <v>0</v>
      </c>
      <c r="E136" s="12"/>
      <c r="F136" s="12">
        <v>0</v>
      </c>
      <c r="G136" s="12">
        <v>0</v>
      </c>
      <c r="H136" s="12"/>
      <c r="I136" s="12">
        <v>0</v>
      </c>
      <c r="J136" s="12">
        <v>0</v>
      </c>
      <c r="K136" s="13">
        <f t="shared" si="7"/>
        <v>0</v>
      </c>
      <c r="L136" s="15">
        <f t="shared" si="8"/>
        <v>0</v>
      </c>
      <c r="M136" s="12">
        <v>0</v>
      </c>
      <c r="N136" s="16"/>
      <c r="O136" s="27">
        <v>0</v>
      </c>
      <c r="P136">
        <v>0</v>
      </c>
      <c r="R136">
        <v>0</v>
      </c>
      <c r="S136">
        <v>0</v>
      </c>
      <c r="U136">
        <v>0</v>
      </c>
    </row>
    <row r="137" spans="1:21">
      <c r="A137" s="6">
        <v>134</v>
      </c>
      <c r="B137" s="12">
        <v>0</v>
      </c>
      <c r="C137" s="12"/>
      <c r="D137" s="12">
        <v>0</v>
      </c>
      <c r="E137" s="12"/>
      <c r="F137" s="12">
        <v>0</v>
      </c>
      <c r="G137" s="12">
        <v>0</v>
      </c>
      <c r="H137" s="12"/>
      <c r="I137" s="12">
        <v>0</v>
      </c>
      <c r="J137" s="12">
        <v>0</v>
      </c>
      <c r="K137" s="13">
        <f t="shared" si="7"/>
        <v>0</v>
      </c>
      <c r="L137" s="15">
        <f t="shared" si="8"/>
        <v>0</v>
      </c>
      <c r="M137" s="12">
        <v>0</v>
      </c>
      <c r="N137" s="14"/>
      <c r="O137" s="27">
        <v>0</v>
      </c>
      <c r="P137">
        <v>0</v>
      </c>
      <c r="R137">
        <v>0</v>
      </c>
      <c r="S137">
        <v>0</v>
      </c>
      <c r="U137">
        <v>0</v>
      </c>
    </row>
    <row r="138" spans="1:21">
      <c r="A138" s="6">
        <v>135</v>
      </c>
      <c r="B138" s="12">
        <v>0</v>
      </c>
      <c r="C138" s="12"/>
      <c r="D138" s="12">
        <v>0</v>
      </c>
      <c r="E138" s="12"/>
      <c r="F138" s="12">
        <v>0</v>
      </c>
      <c r="G138" s="12">
        <v>0</v>
      </c>
      <c r="H138" s="12"/>
      <c r="I138" s="12">
        <v>0</v>
      </c>
      <c r="J138" s="12">
        <v>0</v>
      </c>
      <c r="K138" s="13">
        <f t="shared" si="7"/>
        <v>0</v>
      </c>
      <c r="L138" s="15">
        <f t="shared" si="8"/>
        <v>0</v>
      </c>
      <c r="M138" s="12">
        <v>0</v>
      </c>
      <c r="N138" s="16"/>
      <c r="O138" s="27">
        <v>0</v>
      </c>
      <c r="P138">
        <v>0</v>
      </c>
      <c r="R138">
        <v>0</v>
      </c>
      <c r="S138">
        <v>0</v>
      </c>
      <c r="U138">
        <v>0</v>
      </c>
    </row>
    <row r="139" spans="1:21">
      <c r="A139" s="6">
        <v>136</v>
      </c>
      <c r="B139" s="12">
        <v>0</v>
      </c>
      <c r="C139" s="12"/>
      <c r="D139" s="12">
        <v>0</v>
      </c>
      <c r="E139" s="12"/>
      <c r="F139" s="12">
        <v>0</v>
      </c>
      <c r="G139" s="12">
        <v>0</v>
      </c>
      <c r="H139" s="12"/>
      <c r="I139" s="12">
        <v>0</v>
      </c>
      <c r="J139" s="12">
        <v>0</v>
      </c>
      <c r="K139" s="13">
        <f t="shared" si="7"/>
        <v>0</v>
      </c>
      <c r="L139" s="15">
        <f t="shared" si="8"/>
        <v>0</v>
      </c>
      <c r="M139" s="12">
        <v>0</v>
      </c>
      <c r="N139" s="16"/>
      <c r="O139" s="27">
        <v>0</v>
      </c>
      <c r="P139">
        <v>0</v>
      </c>
      <c r="R139">
        <v>0</v>
      </c>
      <c r="S139">
        <v>0</v>
      </c>
      <c r="U139">
        <v>0</v>
      </c>
    </row>
    <row r="140" spans="1:21">
      <c r="A140" s="6">
        <v>137</v>
      </c>
      <c r="B140" s="12">
        <v>0</v>
      </c>
      <c r="C140" s="12"/>
      <c r="D140" s="12">
        <v>0</v>
      </c>
      <c r="E140" s="12"/>
      <c r="F140" s="12">
        <v>0</v>
      </c>
      <c r="G140" s="12">
        <v>0</v>
      </c>
      <c r="H140" s="12"/>
      <c r="I140" s="12">
        <v>0</v>
      </c>
      <c r="J140" s="12">
        <v>0</v>
      </c>
      <c r="K140" s="13">
        <f t="shared" si="7"/>
        <v>0</v>
      </c>
      <c r="L140" s="15">
        <f t="shared" si="8"/>
        <v>0</v>
      </c>
      <c r="M140" s="12">
        <v>0</v>
      </c>
      <c r="N140" s="16"/>
      <c r="O140" s="27">
        <v>0</v>
      </c>
      <c r="P140">
        <v>0</v>
      </c>
      <c r="R140">
        <v>0</v>
      </c>
      <c r="S140">
        <v>0</v>
      </c>
      <c r="U140">
        <v>0</v>
      </c>
    </row>
    <row r="141" spans="1:21">
      <c r="A141" s="6">
        <v>138</v>
      </c>
      <c r="B141" s="12">
        <v>0</v>
      </c>
      <c r="C141" s="12"/>
      <c r="D141" s="12">
        <v>0</v>
      </c>
      <c r="E141" s="12"/>
      <c r="F141" s="12">
        <v>0</v>
      </c>
      <c r="G141" s="12">
        <v>0</v>
      </c>
      <c r="H141" s="12"/>
      <c r="I141" s="12">
        <v>0</v>
      </c>
      <c r="J141" s="12">
        <v>0</v>
      </c>
      <c r="K141" s="13">
        <f t="shared" si="7"/>
        <v>0</v>
      </c>
      <c r="L141" s="15">
        <f t="shared" si="8"/>
        <v>0</v>
      </c>
      <c r="M141" s="12">
        <v>0</v>
      </c>
      <c r="N141" s="16"/>
      <c r="O141" s="27">
        <v>0</v>
      </c>
      <c r="P141">
        <v>0</v>
      </c>
      <c r="R141">
        <v>0</v>
      </c>
      <c r="S141">
        <v>0</v>
      </c>
      <c r="U141">
        <v>0</v>
      </c>
    </row>
    <row r="142" spans="1:21">
      <c r="A142" s="6">
        <v>139</v>
      </c>
      <c r="B142" s="12">
        <v>0</v>
      </c>
      <c r="C142" s="12"/>
      <c r="D142" s="12">
        <v>0</v>
      </c>
      <c r="E142" s="12"/>
      <c r="F142" s="12">
        <v>0</v>
      </c>
      <c r="G142" s="12">
        <v>0</v>
      </c>
      <c r="H142" s="12"/>
      <c r="I142" s="12">
        <v>0</v>
      </c>
      <c r="J142" s="12">
        <v>0</v>
      </c>
      <c r="K142" s="13">
        <f>J142</f>
        <v>0</v>
      </c>
      <c r="L142" s="15">
        <f t="shared" si="8"/>
        <v>0</v>
      </c>
      <c r="M142" s="12">
        <v>0</v>
      </c>
      <c r="N142" s="16"/>
      <c r="O142" s="27">
        <v>0</v>
      </c>
      <c r="P142">
        <v>0</v>
      </c>
      <c r="R142">
        <v>0</v>
      </c>
      <c r="S142">
        <v>0</v>
      </c>
      <c r="U142">
        <v>0</v>
      </c>
    </row>
    <row r="143" spans="1:21">
      <c r="A143" s="6">
        <v>140</v>
      </c>
      <c r="B143" s="12">
        <v>0</v>
      </c>
      <c r="C143" s="12">
        <v>20</v>
      </c>
      <c r="D143" s="12">
        <v>0</v>
      </c>
      <c r="E143" s="12">
        <v>20</v>
      </c>
      <c r="F143" s="12">
        <v>20</v>
      </c>
      <c r="G143" s="12">
        <v>41.6</v>
      </c>
      <c r="H143" s="12">
        <v>500</v>
      </c>
      <c r="I143" s="12">
        <v>-458.4</v>
      </c>
      <c r="J143" s="12">
        <v>20</v>
      </c>
      <c r="K143" s="13">
        <f t="shared" si="7"/>
        <v>20</v>
      </c>
      <c r="L143" s="15">
        <f t="shared" si="8"/>
        <v>0</v>
      </c>
      <c r="M143" s="12">
        <v>0</v>
      </c>
      <c r="N143" s="16"/>
      <c r="O143" s="27">
        <v>-458.4</v>
      </c>
      <c r="P143">
        <v>20</v>
      </c>
      <c r="Q143">
        <v>20</v>
      </c>
      <c r="R143">
        <v>0</v>
      </c>
      <c r="S143">
        <v>0</v>
      </c>
      <c r="U143">
        <v>-458.4</v>
      </c>
    </row>
    <row r="144" spans="1:21">
      <c r="A144" s="6">
        <v>141</v>
      </c>
      <c r="B144" s="12">
        <v>448</v>
      </c>
      <c r="C144" s="12">
        <v>448</v>
      </c>
      <c r="D144" s="12">
        <v>448</v>
      </c>
      <c r="E144" s="12">
        <v>448</v>
      </c>
      <c r="F144" s="12">
        <v>0</v>
      </c>
      <c r="G144" s="12">
        <v>0</v>
      </c>
      <c r="H144" s="12"/>
      <c r="I144" s="12">
        <v>44.95</v>
      </c>
      <c r="J144" s="12">
        <v>448</v>
      </c>
      <c r="K144" s="13">
        <f t="shared" si="7"/>
        <v>448</v>
      </c>
      <c r="L144" s="15">
        <f t="shared" si="8"/>
        <v>0</v>
      </c>
      <c r="M144" s="12">
        <v>0</v>
      </c>
      <c r="N144" s="14"/>
      <c r="O144" s="27">
        <v>44.94999999999991</v>
      </c>
      <c r="P144">
        <v>448</v>
      </c>
      <c r="Q144">
        <v>454</v>
      </c>
      <c r="R144">
        <v>6</v>
      </c>
      <c r="S144">
        <v>12.48</v>
      </c>
      <c r="U144">
        <v>57.43</v>
      </c>
    </row>
    <row r="145" spans="1:21">
      <c r="A145" s="7">
        <v>142</v>
      </c>
      <c r="B145" s="12">
        <v>7910</v>
      </c>
      <c r="C145" s="12">
        <v>7910</v>
      </c>
      <c r="D145" s="12">
        <v>7910</v>
      </c>
      <c r="E145" s="12">
        <v>7910</v>
      </c>
      <c r="F145" s="12">
        <v>0</v>
      </c>
      <c r="G145" s="12">
        <v>0</v>
      </c>
      <c r="H145" s="12"/>
      <c r="I145" s="12">
        <v>2349.37</v>
      </c>
      <c r="J145" s="12">
        <v>7910</v>
      </c>
      <c r="K145" s="13">
        <v>9223</v>
      </c>
      <c r="L145" s="15">
        <f t="shared" si="8"/>
        <v>1313</v>
      </c>
      <c r="M145" s="12">
        <v>2731.04</v>
      </c>
      <c r="N145" s="16"/>
      <c r="O145" s="27">
        <v>5080.41</v>
      </c>
      <c r="P145">
        <v>9223</v>
      </c>
      <c r="Q145">
        <v>9749</v>
      </c>
      <c r="R145">
        <v>526</v>
      </c>
      <c r="S145">
        <v>1094.08</v>
      </c>
      <c r="U145">
        <v>6174.49</v>
      </c>
    </row>
    <row r="146" spans="1:21">
      <c r="A146" s="6">
        <v>143</v>
      </c>
      <c r="B146" s="12">
        <v>2448</v>
      </c>
      <c r="C146" s="12">
        <v>2823</v>
      </c>
      <c r="D146" s="12">
        <v>2448</v>
      </c>
      <c r="E146" s="12">
        <v>2823</v>
      </c>
      <c r="F146" s="12">
        <v>375</v>
      </c>
      <c r="G146" s="12">
        <v>780</v>
      </c>
      <c r="H146" s="12"/>
      <c r="I146" s="12">
        <v>4396.33</v>
      </c>
      <c r="J146" s="12">
        <v>2823</v>
      </c>
      <c r="K146" s="13">
        <v>3134</v>
      </c>
      <c r="L146" s="15">
        <f t="shared" si="8"/>
        <v>311</v>
      </c>
      <c r="M146" s="12">
        <v>646.88</v>
      </c>
      <c r="N146" s="19">
        <v>1000</v>
      </c>
      <c r="O146" s="27">
        <v>3043.21</v>
      </c>
      <c r="P146">
        <v>3134</v>
      </c>
      <c r="Q146">
        <v>3473</v>
      </c>
      <c r="R146">
        <v>339</v>
      </c>
      <c r="S146">
        <v>705.12</v>
      </c>
      <c r="U146">
        <v>3748.33</v>
      </c>
    </row>
    <row r="147" spans="1:21">
      <c r="A147" s="6">
        <v>144</v>
      </c>
      <c r="B147" s="12">
        <v>0</v>
      </c>
      <c r="C147" s="12"/>
      <c r="D147" s="12">
        <v>0</v>
      </c>
      <c r="E147" s="12"/>
      <c r="F147" s="12">
        <v>0</v>
      </c>
      <c r="G147" s="12">
        <v>0</v>
      </c>
      <c r="H147" s="12"/>
      <c r="I147" s="12">
        <v>0</v>
      </c>
      <c r="J147" s="12">
        <v>0</v>
      </c>
      <c r="K147" s="13">
        <f t="shared" si="7"/>
        <v>0</v>
      </c>
      <c r="L147" s="15">
        <f t="shared" si="8"/>
        <v>0</v>
      </c>
      <c r="M147" s="12">
        <v>0</v>
      </c>
      <c r="N147" s="16"/>
      <c r="O147" s="27">
        <v>0</v>
      </c>
      <c r="P147">
        <v>0</v>
      </c>
      <c r="R147">
        <v>0</v>
      </c>
      <c r="S147">
        <v>0</v>
      </c>
      <c r="U147">
        <v>0</v>
      </c>
    </row>
    <row r="148" spans="1:21">
      <c r="A148" s="6">
        <v>145</v>
      </c>
      <c r="B148" s="12">
        <v>3250</v>
      </c>
      <c r="C148" s="12">
        <v>3450</v>
      </c>
      <c r="D148" s="12">
        <v>3250</v>
      </c>
      <c r="E148" s="12">
        <v>3450</v>
      </c>
      <c r="F148" s="12">
        <v>200</v>
      </c>
      <c r="G148" s="12">
        <v>416</v>
      </c>
      <c r="H148" s="12"/>
      <c r="I148" s="12">
        <v>416</v>
      </c>
      <c r="J148" s="12">
        <v>3450</v>
      </c>
      <c r="K148" s="13">
        <v>3650</v>
      </c>
      <c r="L148" s="15">
        <f t="shared" si="8"/>
        <v>200</v>
      </c>
      <c r="M148" s="12">
        <v>416</v>
      </c>
      <c r="N148" s="16"/>
      <c r="O148" s="27">
        <v>832</v>
      </c>
      <c r="P148">
        <v>3650</v>
      </c>
      <c r="Q148">
        <v>3850</v>
      </c>
      <c r="R148">
        <v>200</v>
      </c>
      <c r="S148">
        <v>416</v>
      </c>
      <c r="U148">
        <v>1248</v>
      </c>
    </row>
    <row r="149" spans="1:21">
      <c r="A149" s="6">
        <v>146</v>
      </c>
      <c r="B149" s="12">
        <v>0</v>
      </c>
      <c r="C149" s="12"/>
      <c r="D149" s="12">
        <v>0</v>
      </c>
      <c r="E149" s="12"/>
      <c r="F149" s="12">
        <v>0</v>
      </c>
      <c r="G149" s="12">
        <v>0</v>
      </c>
      <c r="H149" s="12"/>
      <c r="I149" s="12">
        <v>0</v>
      </c>
      <c r="J149" s="12">
        <v>0</v>
      </c>
      <c r="K149" s="13">
        <f t="shared" si="7"/>
        <v>0</v>
      </c>
      <c r="L149" s="15">
        <f t="shared" si="8"/>
        <v>0</v>
      </c>
      <c r="M149" s="12">
        <v>0</v>
      </c>
      <c r="N149" s="16"/>
      <c r="O149" s="27">
        <v>0</v>
      </c>
      <c r="P149">
        <v>0</v>
      </c>
      <c r="R149">
        <v>0</v>
      </c>
      <c r="S149">
        <v>0</v>
      </c>
      <c r="U149">
        <v>0</v>
      </c>
    </row>
    <row r="150" spans="1:21">
      <c r="A150" s="6">
        <v>147</v>
      </c>
      <c r="B150" s="12">
        <v>0</v>
      </c>
      <c r="C150" s="12"/>
      <c r="D150" s="12">
        <v>0</v>
      </c>
      <c r="E150" s="12"/>
      <c r="F150" s="12">
        <v>0</v>
      </c>
      <c r="G150" s="12">
        <v>0</v>
      </c>
      <c r="H150" s="12"/>
      <c r="I150" s="12">
        <v>0</v>
      </c>
      <c r="J150" s="12">
        <v>0</v>
      </c>
      <c r="K150" s="13">
        <f t="shared" si="7"/>
        <v>0</v>
      </c>
      <c r="L150" s="15">
        <f t="shared" si="8"/>
        <v>0</v>
      </c>
      <c r="M150" s="12">
        <v>0</v>
      </c>
      <c r="N150" s="16"/>
      <c r="O150" s="27">
        <v>0</v>
      </c>
      <c r="P150">
        <v>0</v>
      </c>
      <c r="R150">
        <v>0</v>
      </c>
      <c r="S150">
        <v>0</v>
      </c>
      <c r="U150">
        <v>0</v>
      </c>
    </row>
    <row r="151" spans="1:21">
      <c r="A151" s="6">
        <v>148</v>
      </c>
      <c r="B151" s="12">
        <v>0</v>
      </c>
      <c r="C151" s="12"/>
      <c r="D151" s="12">
        <v>0</v>
      </c>
      <c r="E151" s="12"/>
      <c r="F151" s="12">
        <v>0</v>
      </c>
      <c r="G151" s="12">
        <v>0</v>
      </c>
      <c r="H151" s="12"/>
      <c r="I151" s="12">
        <v>0</v>
      </c>
      <c r="J151" s="12">
        <v>0</v>
      </c>
      <c r="K151" s="13">
        <f t="shared" si="7"/>
        <v>0</v>
      </c>
      <c r="L151" s="15">
        <f t="shared" si="8"/>
        <v>0</v>
      </c>
      <c r="M151" s="12">
        <v>0</v>
      </c>
      <c r="N151" s="14"/>
      <c r="O151" s="27">
        <v>0</v>
      </c>
      <c r="P151">
        <v>0</v>
      </c>
      <c r="R151">
        <v>0</v>
      </c>
      <c r="S151">
        <v>0</v>
      </c>
      <c r="U151">
        <v>0</v>
      </c>
    </row>
    <row r="152" spans="1:21">
      <c r="A152" s="6">
        <v>149</v>
      </c>
      <c r="B152" s="12">
        <v>132</v>
      </c>
      <c r="C152" s="12">
        <v>132</v>
      </c>
      <c r="D152" s="12">
        <v>132</v>
      </c>
      <c r="E152" s="12">
        <v>132</v>
      </c>
      <c r="F152" s="12">
        <v>0</v>
      </c>
      <c r="G152" s="12">
        <v>0</v>
      </c>
      <c r="H152" s="12"/>
      <c r="I152" s="12">
        <v>-36</v>
      </c>
      <c r="J152" s="12">
        <v>132</v>
      </c>
      <c r="K152" s="13">
        <f t="shared" si="7"/>
        <v>132</v>
      </c>
      <c r="L152" s="15">
        <f t="shared" si="8"/>
        <v>0</v>
      </c>
      <c r="M152" s="12">
        <v>0</v>
      </c>
      <c r="N152" s="16"/>
      <c r="O152" s="27">
        <v>-36</v>
      </c>
      <c r="P152">
        <v>132</v>
      </c>
      <c r="Q152">
        <v>132</v>
      </c>
      <c r="R152">
        <v>0</v>
      </c>
      <c r="S152">
        <v>0</v>
      </c>
      <c r="U152">
        <v>-36</v>
      </c>
    </row>
    <row r="153" spans="1:21">
      <c r="A153" s="7">
        <v>150</v>
      </c>
      <c r="B153" s="12">
        <v>29660</v>
      </c>
      <c r="C153" s="12">
        <v>30460</v>
      </c>
      <c r="D153" s="12">
        <v>29660</v>
      </c>
      <c r="E153" s="12">
        <v>30460</v>
      </c>
      <c r="F153" s="12">
        <v>800</v>
      </c>
      <c r="G153" s="12">
        <v>1664</v>
      </c>
      <c r="H153" s="12"/>
      <c r="I153" s="12">
        <v>4816.92</v>
      </c>
      <c r="J153" s="12">
        <v>30460</v>
      </c>
      <c r="K153" s="13">
        <v>31153</v>
      </c>
      <c r="L153" s="15">
        <f t="shared" si="8"/>
        <v>693</v>
      </c>
      <c r="M153" s="12">
        <v>1441.44</v>
      </c>
      <c r="N153" s="16"/>
      <c r="O153" s="27">
        <v>1258.3599999999992</v>
      </c>
      <c r="P153">
        <v>31153</v>
      </c>
      <c r="Q153">
        <v>31790</v>
      </c>
      <c r="R153">
        <v>637</v>
      </c>
      <c r="S153">
        <v>1324.96</v>
      </c>
      <c r="U153">
        <v>2583.3200000000002</v>
      </c>
    </row>
    <row r="154" spans="1:21">
      <c r="A154" s="6">
        <v>151</v>
      </c>
      <c r="B154" s="12">
        <v>0</v>
      </c>
      <c r="C154" s="12"/>
      <c r="D154" s="12">
        <v>0</v>
      </c>
      <c r="E154" s="12"/>
      <c r="F154" s="12">
        <v>0</v>
      </c>
      <c r="G154" s="12">
        <v>0</v>
      </c>
      <c r="H154" s="12"/>
      <c r="I154" s="12">
        <v>0</v>
      </c>
      <c r="J154" s="12">
        <v>0</v>
      </c>
      <c r="K154" s="13">
        <f>J154</f>
        <v>0</v>
      </c>
      <c r="L154" s="15">
        <f t="shared" si="8"/>
        <v>0</v>
      </c>
      <c r="M154" s="12">
        <v>0</v>
      </c>
      <c r="N154" s="16"/>
      <c r="O154" s="27">
        <v>0</v>
      </c>
      <c r="P154">
        <v>0</v>
      </c>
      <c r="R154">
        <v>0</v>
      </c>
      <c r="S154">
        <v>0</v>
      </c>
      <c r="U154">
        <v>0</v>
      </c>
    </row>
    <row r="155" spans="1:21">
      <c r="A155" s="6">
        <v>152</v>
      </c>
      <c r="B155" s="12">
        <v>27245</v>
      </c>
      <c r="C155" s="12">
        <v>28646</v>
      </c>
      <c r="D155" s="12">
        <v>27245</v>
      </c>
      <c r="E155" s="12">
        <v>28646</v>
      </c>
      <c r="F155" s="12">
        <v>1401</v>
      </c>
      <c r="G155" s="12">
        <v>2914.08</v>
      </c>
      <c r="H155" s="12"/>
      <c r="I155" s="12">
        <v>2612.54</v>
      </c>
      <c r="J155" s="12">
        <v>28646</v>
      </c>
      <c r="K155" s="13">
        <v>29473</v>
      </c>
      <c r="L155" s="15">
        <f t="shared" si="8"/>
        <v>827</v>
      </c>
      <c r="M155" s="12">
        <v>1720.16</v>
      </c>
      <c r="N155" s="21">
        <v>5000</v>
      </c>
      <c r="O155" s="27">
        <v>-667.29999999999927</v>
      </c>
      <c r="P155">
        <v>29473</v>
      </c>
      <c r="Q155">
        <v>29685</v>
      </c>
      <c r="R155">
        <v>212</v>
      </c>
      <c r="S155">
        <v>440.96</v>
      </c>
      <c r="U155">
        <v>-226.34</v>
      </c>
    </row>
    <row r="156" spans="1:21">
      <c r="A156" s="6">
        <v>153</v>
      </c>
      <c r="B156" s="12">
        <v>0</v>
      </c>
      <c r="C156" s="12"/>
      <c r="D156" s="12">
        <v>0</v>
      </c>
      <c r="E156" s="12"/>
      <c r="F156" s="12">
        <v>0</v>
      </c>
      <c r="G156" s="12">
        <v>0</v>
      </c>
      <c r="H156" s="12"/>
      <c r="I156" s="12">
        <v>0</v>
      </c>
      <c r="J156" s="12">
        <v>0</v>
      </c>
      <c r="K156" s="13">
        <f t="shared" ref="K156:K196" si="9">J156</f>
        <v>0</v>
      </c>
      <c r="L156" s="15">
        <f t="shared" si="8"/>
        <v>0</v>
      </c>
      <c r="M156" s="12">
        <v>0</v>
      </c>
      <c r="N156" s="16"/>
      <c r="O156" s="27">
        <v>0</v>
      </c>
      <c r="P156">
        <v>0</v>
      </c>
      <c r="R156">
        <v>0</v>
      </c>
      <c r="S156">
        <v>0</v>
      </c>
      <c r="U156">
        <v>0</v>
      </c>
    </row>
    <row r="157" spans="1:21">
      <c r="A157" s="6">
        <v>154</v>
      </c>
      <c r="B157" s="12">
        <v>14500</v>
      </c>
      <c r="C157" s="12">
        <v>14500</v>
      </c>
      <c r="D157" s="12">
        <v>14500</v>
      </c>
      <c r="E157" s="12">
        <v>14500</v>
      </c>
      <c r="F157" s="12">
        <v>0</v>
      </c>
      <c r="G157" s="12">
        <v>0</v>
      </c>
      <c r="H157" s="12"/>
      <c r="I157" s="12">
        <v>2080.16</v>
      </c>
      <c r="J157" s="12">
        <v>14500</v>
      </c>
      <c r="K157" s="13">
        <v>14625</v>
      </c>
      <c r="L157" s="15">
        <f t="shared" si="8"/>
        <v>125</v>
      </c>
      <c r="M157" s="12">
        <v>260</v>
      </c>
      <c r="N157" s="16"/>
      <c r="O157" s="27">
        <v>2340.1599999999994</v>
      </c>
      <c r="P157">
        <v>14625</v>
      </c>
      <c r="Q157">
        <v>14730</v>
      </c>
      <c r="R157">
        <v>105</v>
      </c>
      <c r="S157">
        <v>218.4</v>
      </c>
      <c r="U157">
        <v>2558.56</v>
      </c>
    </row>
    <row r="158" spans="1:21">
      <c r="A158" s="6">
        <v>155</v>
      </c>
      <c r="B158" s="12">
        <v>134</v>
      </c>
      <c r="C158" s="12">
        <v>134</v>
      </c>
      <c r="D158" s="12">
        <v>134</v>
      </c>
      <c r="E158" s="12">
        <v>134</v>
      </c>
      <c r="F158" s="12">
        <v>0</v>
      </c>
      <c r="G158" s="12">
        <v>0</v>
      </c>
      <c r="H158" s="12"/>
      <c r="I158" s="12">
        <v>-232.66</v>
      </c>
      <c r="J158" s="12">
        <v>134</v>
      </c>
      <c r="K158" s="13">
        <f t="shared" si="9"/>
        <v>134</v>
      </c>
      <c r="L158" s="15">
        <f t="shared" si="8"/>
        <v>0</v>
      </c>
      <c r="M158" s="12">
        <v>0</v>
      </c>
      <c r="N158" s="14"/>
      <c r="O158" s="27">
        <v>-232.66000000000008</v>
      </c>
      <c r="P158">
        <v>134</v>
      </c>
      <c r="Q158">
        <v>134</v>
      </c>
      <c r="R158">
        <v>0</v>
      </c>
      <c r="S158">
        <v>0</v>
      </c>
      <c r="U158">
        <v>-232.66</v>
      </c>
    </row>
    <row r="159" spans="1:21">
      <c r="A159" s="6">
        <v>156</v>
      </c>
      <c r="B159" s="12">
        <v>565</v>
      </c>
      <c r="C159" s="12">
        <v>565</v>
      </c>
      <c r="D159" s="12">
        <v>565</v>
      </c>
      <c r="E159" s="12">
        <v>565</v>
      </c>
      <c r="F159" s="12">
        <v>0</v>
      </c>
      <c r="G159" s="12">
        <v>0</v>
      </c>
      <c r="H159" s="12"/>
      <c r="I159" s="12">
        <v>-87.67</v>
      </c>
      <c r="J159" s="12">
        <v>565</v>
      </c>
      <c r="K159" s="13">
        <f t="shared" si="9"/>
        <v>565</v>
      </c>
      <c r="L159" s="15">
        <f t="shared" si="8"/>
        <v>0</v>
      </c>
      <c r="M159" s="12">
        <v>0</v>
      </c>
      <c r="N159" s="16"/>
      <c r="O159" s="27">
        <v>-87.669999999999973</v>
      </c>
      <c r="P159">
        <v>565</v>
      </c>
      <c r="Q159">
        <v>565</v>
      </c>
      <c r="R159">
        <v>0</v>
      </c>
      <c r="S159">
        <v>0</v>
      </c>
      <c r="U159">
        <v>-87.67</v>
      </c>
    </row>
    <row r="160" spans="1:21">
      <c r="A160" s="6">
        <v>157</v>
      </c>
      <c r="B160" s="12">
        <v>0</v>
      </c>
      <c r="C160" s="12"/>
      <c r="D160" s="12">
        <v>0</v>
      </c>
      <c r="E160" s="12"/>
      <c r="F160" s="12">
        <v>0</v>
      </c>
      <c r="G160" s="12">
        <v>0</v>
      </c>
      <c r="H160" s="12"/>
      <c r="I160" s="12">
        <v>0</v>
      </c>
      <c r="J160" s="12">
        <v>0</v>
      </c>
      <c r="K160" s="13">
        <f t="shared" si="9"/>
        <v>0</v>
      </c>
      <c r="L160" s="15">
        <f t="shared" si="8"/>
        <v>0</v>
      </c>
      <c r="M160" s="12">
        <v>0</v>
      </c>
      <c r="N160" s="16"/>
      <c r="O160" s="27">
        <v>0</v>
      </c>
      <c r="P160">
        <v>0</v>
      </c>
      <c r="R160">
        <v>0</v>
      </c>
      <c r="S160">
        <v>0</v>
      </c>
      <c r="U160">
        <v>0</v>
      </c>
    </row>
    <row r="161" spans="1:21">
      <c r="A161" s="6">
        <v>158</v>
      </c>
      <c r="B161" s="12">
        <v>0</v>
      </c>
      <c r="C161" s="12"/>
      <c r="D161" s="12">
        <v>0</v>
      </c>
      <c r="E161" s="12"/>
      <c r="F161" s="12">
        <v>0</v>
      </c>
      <c r="G161" s="12">
        <v>0</v>
      </c>
      <c r="H161" s="12"/>
      <c r="I161" s="12">
        <v>0</v>
      </c>
      <c r="J161" s="12">
        <v>0</v>
      </c>
      <c r="K161" s="13">
        <f t="shared" si="9"/>
        <v>0</v>
      </c>
      <c r="L161" s="15">
        <f t="shared" si="8"/>
        <v>0</v>
      </c>
      <c r="M161" s="12">
        <v>0</v>
      </c>
      <c r="N161" s="16"/>
      <c r="O161" s="27">
        <v>0</v>
      </c>
      <c r="P161">
        <v>0</v>
      </c>
      <c r="R161">
        <v>0</v>
      </c>
      <c r="S161">
        <v>0</v>
      </c>
      <c r="U161">
        <v>0</v>
      </c>
    </row>
    <row r="162" spans="1:21">
      <c r="A162" s="6">
        <v>159</v>
      </c>
      <c r="B162" s="12">
        <v>0</v>
      </c>
      <c r="C162" s="12"/>
      <c r="D162" s="12">
        <v>0</v>
      </c>
      <c r="E162" s="12"/>
      <c r="F162" s="12">
        <v>0</v>
      </c>
      <c r="G162" s="12">
        <v>0</v>
      </c>
      <c r="H162" s="12"/>
      <c r="I162" s="12">
        <v>0</v>
      </c>
      <c r="J162" s="12">
        <v>0</v>
      </c>
      <c r="K162" s="13">
        <f t="shared" si="9"/>
        <v>0</v>
      </c>
      <c r="L162" s="15">
        <f t="shared" si="8"/>
        <v>0</v>
      </c>
      <c r="M162" s="12">
        <v>0</v>
      </c>
      <c r="N162" s="16"/>
      <c r="O162" s="27">
        <v>0</v>
      </c>
      <c r="P162">
        <v>0</v>
      </c>
      <c r="R162">
        <v>0</v>
      </c>
      <c r="S162">
        <v>0</v>
      </c>
      <c r="U162">
        <v>0</v>
      </c>
    </row>
    <row r="163" spans="1:21">
      <c r="A163" s="6">
        <v>160</v>
      </c>
      <c r="B163" s="12">
        <v>0</v>
      </c>
      <c r="C163" s="12"/>
      <c r="D163" s="12">
        <v>0</v>
      </c>
      <c r="E163" s="12"/>
      <c r="F163" s="12">
        <v>0</v>
      </c>
      <c r="G163" s="12">
        <v>0</v>
      </c>
      <c r="H163" s="12"/>
      <c r="I163" s="12">
        <v>0</v>
      </c>
      <c r="J163" s="12">
        <v>0</v>
      </c>
      <c r="K163" s="13">
        <f t="shared" si="9"/>
        <v>0</v>
      </c>
      <c r="L163" s="15">
        <f t="shared" si="8"/>
        <v>0</v>
      </c>
      <c r="M163" s="12">
        <v>0</v>
      </c>
      <c r="N163" s="16"/>
      <c r="O163" s="27">
        <v>0</v>
      </c>
      <c r="P163">
        <v>0</v>
      </c>
      <c r="R163">
        <v>0</v>
      </c>
      <c r="S163">
        <v>0</v>
      </c>
      <c r="U163">
        <v>0</v>
      </c>
    </row>
    <row r="164" spans="1:21">
      <c r="A164" s="6">
        <v>161</v>
      </c>
      <c r="B164" s="12">
        <v>8175</v>
      </c>
      <c r="C164" s="12">
        <v>8175</v>
      </c>
      <c r="D164" s="12">
        <v>8175</v>
      </c>
      <c r="E164" s="12">
        <v>8175</v>
      </c>
      <c r="F164" s="12">
        <v>0</v>
      </c>
      <c r="G164" s="12">
        <v>0</v>
      </c>
      <c r="H164" s="12"/>
      <c r="I164" s="12">
        <v>-28.1</v>
      </c>
      <c r="J164" s="12">
        <v>8175</v>
      </c>
      <c r="K164" s="13">
        <f t="shared" si="9"/>
        <v>8175</v>
      </c>
      <c r="L164" s="15">
        <f t="shared" si="8"/>
        <v>0</v>
      </c>
      <c r="M164" s="12">
        <v>0</v>
      </c>
      <c r="N164" s="17"/>
      <c r="O164" s="27">
        <v>-28.099999999999454</v>
      </c>
      <c r="P164">
        <v>8175</v>
      </c>
      <c r="Q164">
        <v>8175</v>
      </c>
      <c r="R164">
        <v>0</v>
      </c>
      <c r="S164">
        <v>0</v>
      </c>
      <c r="U164">
        <v>-28.1</v>
      </c>
    </row>
    <row r="165" spans="1:21">
      <c r="A165" s="6">
        <v>162</v>
      </c>
      <c r="B165" s="12">
        <v>0</v>
      </c>
      <c r="C165" s="12"/>
      <c r="D165" s="12">
        <v>0</v>
      </c>
      <c r="E165" s="12"/>
      <c r="F165" s="12">
        <v>0</v>
      </c>
      <c r="G165" s="12">
        <v>0</v>
      </c>
      <c r="H165" s="12"/>
      <c r="I165" s="12">
        <v>0</v>
      </c>
      <c r="J165" s="12">
        <v>0</v>
      </c>
      <c r="K165" s="13">
        <f t="shared" si="9"/>
        <v>0</v>
      </c>
      <c r="L165" s="15">
        <f t="shared" si="8"/>
        <v>0</v>
      </c>
      <c r="M165" s="12">
        <v>0</v>
      </c>
      <c r="N165" s="14"/>
      <c r="O165" s="27">
        <v>0</v>
      </c>
      <c r="P165">
        <v>0</v>
      </c>
      <c r="R165">
        <v>0</v>
      </c>
      <c r="S165">
        <v>0</v>
      </c>
      <c r="U165">
        <v>0</v>
      </c>
    </row>
    <row r="166" spans="1:21">
      <c r="A166" s="6">
        <v>163</v>
      </c>
      <c r="B166" s="12">
        <v>0</v>
      </c>
      <c r="C166" s="12">
        <v>1303</v>
      </c>
      <c r="D166" s="12">
        <v>0</v>
      </c>
      <c r="E166" s="12">
        <v>1303</v>
      </c>
      <c r="F166" s="12">
        <v>1303</v>
      </c>
      <c r="G166" s="12">
        <v>2710.24</v>
      </c>
      <c r="H166" s="12"/>
      <c r="I166" s="12">
        <v>2710.24</v>
      </c>
      <c r="J166" s="12">
        <v>1303</v>
      </c>
      <c r="K166" s="13">
        <v>1318</v>
      </c>
      <c r="L166" s="15">
        <f t="shared" si="8"/>
        <v>15</v>
      </c>
      <c r="M166" s="12">
        <v>31.200000000000003</v>
      </c>
      <c r="N166" s="16"/>
      <c r="O166" s="27">
        <v>2741.44</v>
      </c>
      <c r="P166">
        <v>1318</v>
      </c>
      <c r="Q166">
        <v>1318</v>
      </c>
      <c r="R166">
        <v>0</v>
      </c>
      <c r="S166">
        <v>0</v>
      </c>
      <c r="U166">
        <v>2741.44</v>
      </c>
    </row>
    <row r="167" spans="1:21">
      <c r="A167" s="6">
        <v>163</v>
      </c>
      <c r="B167" s="12">
        <v>33292</v>
      </c>
      <c r="C167" s="12">
        <v>33619</v>
      </c>
      <c r="D167" s="12">
        <v>33292</v>
      </c>
      <c r="E167" s="12">
        <v>33619</v>
      </c>
      <c r="F167" s="12">
        <v>327</v>
      </c>
      <c r="G167" s="12">
        <v>680.16</v>
      </c>
      <c r="H167" s="12"/>
      <c r="I167" s="12">
        <v>658.44</v>
      </c>
      <c r="J167" s="12">
        <v>33619</v>
      </c>
      <c r="K167" s="13">
        <v>33720</v>
      </c>
      <c r="L167" s="15">
        <f t="shared" si="8"/>
        <v>101</v>
      </c>
      <c r="M167" s="12">
        <v>210.08</v>
      </c>
      <c r="N167" s="16"/>
      <c r="O167" s="27">
        <v>868.52000000000066</v>
      </c>
      <c r="P167">
        <v>33720</v>
      </c>
      <c r="Q167">
        <v>33720</v>
      </c>
      <c r="R167">
        <v>0</v>
      </c>
      <c r="S167">
        <v>0</v>
      </c>
      <c r="U167">
        <v>868.52</v>
      </c>
    </row>
    <row r="168" spans="1:21">
      <c r="A168" s="6">
        <v>164</v>
      </c>
      <c r="B168" s="12">
        <v>0</v>
      </c>
      <c r="C168" s="12"/>
      <c r="D168" s="12">
        <v>0</v>
      </c>
      <c r="E168" s="12"/>
      <c r="F168" s="12">
        <v>0</v>
      </c>
      <c r="G168" s="12">
        <v>0</v>
      </c>
      <c r="H168" s="12"/>
      <c r="I168" s="12">
        <v>-3.64</v>
      </c>
      <c r="J168" s="12">
        <v>0</v>
      </c>
      <c r="K168" s="13">
        <f t="shared" si="9"/>
        <v>0</v>
      </c>
      <c r="L168" s="15">
        <f t="shared" si="8"/>
        <v>0</v>
      </c>
      <c r="M168" s="12">
        <v>0</v>
      </c>
      <c r="N168" s="16"/>
      <c r="O168" s="27">
        <v>-3.6400000000000006</v>
      </c>
      <c r="P168">
        <v>0</v>
      </c>
      <c r="R168">
        <v>0</v>
      </c>
      <c r="S168">
        <v>0</v>
      </c>
      <c r="U168">
        <v>-3.64</v>
      </c>
    </row>
    <row r="169" spans="1:21">
      <c r="A169" s="6">
        <v>165</v>
      </c>
      <c r="B169" s="12">
        <v>460</v>
      </c>
      <c r="C169" s="12">
        <v>474</v>
      </c>
      <c r="D169" s="12">
        <v>460</v>
      </c>
      <c r="E169" s="12">
        <v>474</v>
      </c>
      <c r="F169" s="12">
        <v>14</v>
      </c>
      <c r="G169" s="12">
        <v>29.12</v>
      </c>
      <c r="H169" s="12"/>
      <c r="I169" s="12">
        <v>780.07</v>
      </c>
      <c r="J169" s="12">
        <v>474</v>
      </c>
      <c r="K169" s="13">
        <f t="shared" si="9"/>
        <v>474</v>
      </c>
      <c r="L169" s="15">
        <f t="shared" si="8"/>
        <v>0</v>
      </c>
      <c r="M169" s="12">
        <v>0</v>
      </c>
      <c r="N169" s="16"/>
      <c r="O169" s="27">
        <v>780.06999999999982</v>
      </c>
      <c r="P169">
        <v>474</v>
      </c>
      <c r="Q169">
        <v>474</v>
      </c>
      <c r="R169">
        <v>0</v>
      </c>
      <c r="S169">
        <v>0</v>
      </c>
      <c r="U169">
        <v>780.07</v>
      </c>
    </row>
    <row r="170" spans="1:21">
      <c r="A170" s="6">
        <v>166</v>
      </c>
      <c r="B170" s="12">
        <v>7277</v>
      </c>
      <c r="C170" s="12">
        <v>7292</v>
      </c>
      <c r="D170" s="12">
        <v>7277</v>
      </c>
      <c r="E170" s="12">
        <v>7292</v>
      </c>
      <c r="F170" s="12">
        <v>15</v>
      </c>
      <c r="G170" s="12">
        <v>31.2</v>
      </c>
      <c r="H170" s="12"/>
      <c r="I170" s="12">
        <v>8224.85</v>
      </c>
      <c r="J170" s="12">
        <v>7292</v>
      </c>
      <c r="K170" s="13">
        <v>7301</v>
      </c>
      <c r="L170" s="15">
        <f t="shared" si="8"/>
        <v>9</v>
      </c>
      <c r="M170" s="12">
        <v>18.72</v>
      </c>
      <c r="N170" s="16"/>
      <c r="O170" s="27">
        <v>8243.5699999999979</v>
      </c>
      <c r="P170">
        <v>7301</v>
      </c>
      <c r="Q170">
        <v>7301</v>
      </c>
      <c r="R170">
        <v>0</v>
      </c>
      <c r="S170">
        <v>0</v>
      </c>
      <c r="U170">
        <v>8243.57</v>
      </c>
    </row>
    <row r="171" spans="1:21">
      <c r="A171" s="6">
        <v>167</v>
      </c>
      <c r="B171" s="12">
        <v>710</v>
      </c>
      <c r="C171" s="12">
        <v>710</v>
      </c>
      <c r="D171" s="12">
        <v>710</v>
      </c>
      <c r="E171" s="12">
        <v>710</v>
      </c>
      <c r="F171" s="12">
        <v>0</v>
      </c>
      <c r="G171" s="12">
        <v>0</v>
      </c>
      <c r="H171" s="12">
        <v>795</v>
      </c>
      <c r="I171" s="12">
        <v>-10.51</v>
      </c>
      <c r="J171" s="12">
        <v>710</v>
      </c>
      <c r="K171" s="13">
        <f>J171</f>
        <v>710</v>
      </c>
      <c r="L171" s="15">
        <f t="shared" si="8"/>
        <v>0</v>
      </c>
      <c r="M171" s="12">
        <v>0</v>
      </c>
      <c r="N171" s="19">
        <v>795</v>
      </c>
      <c r="O171" s="27">
        <v>-10.510000000000105</v>
      </c>
      <c r="P171">
        <v>710</v>
      </c>
      <c r="Q171">
        <v>710</v>
      </c>
      <c r="R171">
        <v>0</v>
      </c>
      <c r="S171">
        <v>0</v>
      </c>
      <c r="U171">
        <v>-10.51</v>
      </c>
    </row>
    <row r="172" spans="1:21">
      <c r="A172" s="6">
        <v>168</v>
      </c>
      <c r="B172" s="12">
        <v>10</v>
      </c>
      <c r="C172" s="12">
        <v>10</v>
      </c>
      <c r="D172" s="12">
        <v>10</v>
      </c>
      <c r="E172" s="12">
        <v>10</v>
      </c>
      <c r="F172" s="12">
        <v>0</v>
      </c>
      <c r="G172" s="12">
        <v>0</v>
      </c>
      <c r="H172" s="12"/>
      <c r="I172" s="12">
        <v>14.8</v>
      </c>
      <c r="J172" s="12">
        <v>10</v>
      </c>
      <c r="K172" s="13">
        <f t="shared" si="9"/>
        <v>10</v>
      </c>
      <c r="L172" s="15">
        <f t="shared" si="8"/>
        <v>0</v>
      </c>
      <c r="M172" s="12">
        <v>0</v>
      </c>
      <c r="N172" s="16"/>
      <c r="O172" s="27">
        <v>14.8</v>
      </c>
      <c r="P172">
        <v>10</v>
      </c>
      <c r="Q172">
        <v>10</v>
      </c>
      <c r="R172">
        <v>0</v>
      </c>
      <c r="S172">
        <v>0</v>
      </c>
      <c r="U172">
        <v>14.8</v>
      </c>
    </row>
    <row r="173" spans="1:21">
      <c r="A173" s="6">
        <v>169</v>
      </c>
      <c r="B173" s="12">
        <v>0</v>
      </c>
      <c r="C173" s="12"/>
      <c r="D173" s="12">
        <v>0</v>
      </c>
      <c r="E173" s="12"/>
      <c r="F173" s="12">
        <v>0</v>
      </c>
      <c r="G173" s="12">
        <v>0</v>
      </c>
      <c r="H173" s="12"/>
      <c r="I173" s="12">
        <v>0</v>
      </c>
      <c r="J173" s="12">
        <v>0</v>
      </c>
      <c r="K173" s="13">
        <f t="shared" si="9"/>
        <v>0</v>
      </c>
      <c r="L173" s="15">
        <f t="shared" si="8"/>
        <v>0</v>
      </c>
      <c r="M173" s="12">
        <v>0</v>
      </c>
      <c r="N173" s="14"/>
      <c r="O173" s="27">
        <v>0</v>
      </c>
      <c r="P173">
        <v>0</v>
      </c>
      <c r="R173">
        <v>0</v>
      </c>
      <c r="S173">
        <v>0</v>
      </c>
      <c r="U173">
        <v>0</v>
      </c>
    </row>
    <row r="174" spans="1:21">
      <c r="A174" s="6">
        <v>170</v>
      </c>
      <c r="B174" s="12">
        <v>11330</v>
      </c>
      <c r="C174" s="12">
        <v>11500</v>
      </c>
      <c r="D174" s="12">
        <v>11330</v>
      </c>
      <c r="E174" s="12">
        <v>11500</v>
      </c>
      <c r="F174" s="12">
        <v>170</v>
      </c>
      <c r="G174" s="12">
        <v>353.6</v>
      </c>
      <c r="H174" s="12"/>
      <c r="I174" s="12">
        <v>354.34</v>
      </c>
      <c r="J174" s="12">
        <v>11500</v>
      </c>
      <c r="K174" s="13">
        <v>11700</v>
      </c>
      <c r="L174" s="15">
        <f>K174-J174</f>
        <v>200</v>
      </c>
      <c r="M174" s="12">
        <v>416</v>
      </c>
      <c r="N174" s="16"/>
      <c r="O174" s="27">
        <v>770.33999999999889</v>
      </c>
      <c r="P174">
        <v>11700</v>
      </c>
      <c r="Q174">
        <v>12030</v>
      </c>
      <c r="R174">
        <v>330</v>
      </c>
      <c r="S174">
        <v>686.4</v>
      </c>
      <c r="U174">
        <v>1456.74</v>
      </c>
    </row>
    <row r="175" spans="1:21">
      <c r="A175" s="6">
        <v>171</v>
      </c>
      <c r="B175" s="12">
        <v>15904</v>
      </c>
      <c r="C175" s="12">
        <v>16295</v>
      </c>
      <c r="D175" s="12">
        <v>15904</v>
      </c>
      <c r="E175" s="12">
        <v>16295</v>
      </c>
      <c r="F175" s="12">
        <v>391</v>
      </c>
      <c r="G175" s="12">
        <v>813.28</v>
      </c>
      <c r="H175" s="12"/>
      <c r="I175" s="12">
        <v>2467.6</v>
      </c>
      <c r="J175" s="12">
        <v>16295</v>
      </c>
      <c r="K175" s="13">
        <v>16706</v>
      </c>
      <c r="L175" s="15">
        <f t="shared" si="8"/>
        <v>411</v>
      </c>
      <c r="M175" s="12">
        <v>854.88</v>
      </c>
      <c r="N175" s="16">
        <v>3350</v>
      </c>
      <c r="O175" s="27">
        <v>-27.520000000000437</v>
      </c>
      <c r="P175">
        <v>16706</v>
      </c>
      <c r="Q175">
        <v>17066</v>
      </c>
      <c r="R175">
        <v>360</v>
      </c>
      <c r="S175">
        <v>748.8</v>
      </c>
      <c r="U175">
        <v>721.28</v>
      </c>
    </row>
    <row r="176" spans="1:21">
      <c r="A176" s="6">
        <v>172</v>
      </c>
      <c r="B176" s="12">
        <v>313</v>
      </c>
      <c r="C176" s="12">
        <v>385</v>
      </c>
      <c r="D176" s="12">
        <v>313</v>
      </c>
      <c r="E176" s="12">
        <v>385</v>
      </c>
      <c r="F176" s="12">
        <v>72</v>
      </c>
      <c r="G176" s="12">
        <v>149.76</v>
      </c>
      <c r="H176" s="12"/>
      <c r="I176" s="12">
        <v>365.47</v>
      </c>
      <c r="J176" s="12">
        <v>385</v>
      </c>
      <c r="K176" s="13">
        <v>418</v>
      </c>
      <c r="L176" s="15">
        <f t="shared" si="8"/>
        <v>33</v>
      </c>
      <c r="M176" s="12">
        <v>68.64</v>
      </c>
      <c r="N176" s="16"/>
      <c r="O176" s="27">
        <v>434.10999999999979</v>
      </c>
      <c r="P176">
        <v>418</v>
      </c>
      <c r="Q176">
        <v>418</v>
      </c>
      <c r="R176">
        <v>0</v>
      </c>
      <c r="S176">
        <v>0</v>
      </c>
      <c r="U176">
        <v>434.11</v>
      </c>
    </row>
    <row r="177" spans="1:21">
      <c r="A177" s="6">
        <v>173</v>
      </c>
      <c r="B177" s="12">
        <v>16033</v>
      </c>
      <c r="C177" s="12">
        <v>16033</v>
      </c>
      <c r="D177" s="12">
        <v>16033</v>
      </c>
      <c r="E177" s="12">
        <v>16033</v>
      </c>
      <c r="F177" s="12">
        <v>0</v>
      </c>
      <c r="G177" s="12">
        <v>0</v>
      </c>
      <c r="H177" s="12"/>
      <c r="I177" s="12">
        <v>22372.3</v>
      </c>
      <c r="J177" s="12">
        <v>16033</v>
      </c>
      <c r="K177" s="13">
        <f t="shared" si="9"/>
        <v>16033</v>
      </c>
      <c r="L177" s="15">
        <f t="shared" si="8"/>
        <v>0</v>
      </c>
      <c r="M177" s="12">
        <v>0</v>
      </c>
      <c r="N177" s="16"/>
      <c r="O177" s="27">
        <v>22372.300000000003</v>
      </c>
      <c r="P177">
        <v>16033</v>
      </c>
      <c r="Q177">
        <v>16033</v>
      </c>
      <c r="R177">
        <v>0</v>
      </c>
      <c r="S177">
        <v>0</v>
      </c>
      <c r="U177">
        <v>22372.3</v>
      </c>
    </row>
    <row r="178" spans="1:21">
      <c r="A178" s="6">
        <v>174</v>
      </c>
      <c r="B178" s="12">
        <v>13525</v>
      </c>
      <c r="C178" s="12">
        <v>13913</v>
      </c>
      <c r="D178" s="12">
        <v>13525</v>
      </c>
      <c r="E178" s="12">
        <v>13913</v>
      </c>
      <c r="F178" s="12">
        <v>388</v>
      </c>
      <c r="G178" s="12">
        <v>807.04</v>
      </c>
      <c r="H178" s="12"/>
      <c r="I178" s="12">
        <v>1061.24</v>
      </c>
      <c r="J178" s="12">
        <v>13913</v>
      </c>
      <c r="K178" s="13">
        <v>14220</v>
      </c>
      <c r="L178" s="15">
        <f t="shared" si="8"/>
        <v>307</v>
      </c>
      <c r="M178" s="12">
        <v>638.56000000000006</v>
      </c>
      <c r="N178" s="19">
        <v>5000</v>
      </c>
      <c r="O178" s="27">
        <v>-3300.2000000000003</v>
      </c>
      <c r="P178">
        <v>13913</v>
      </c>
      <c r="Q178">
        <v>14410</v>
      </c>
      <c r="R178">
        <v>497</v>
      </c>
      <c r="S178">
        <v>1033.76</v>
      </c>
      <c r="U178">
        <v>-2905</v>
      </c>
    </row>
    <row r="179" spans="1:21">
      <c r="A179" s="6">
        <v>175</v>
      </c>
      <c r="B179" s="12">
        <v>3007</v>
      </c>
      <c r="C179" s="12">
        <v>3007</v>
      </c>
      <c r="D179" s="12">
        <v>3007</v>
      </c>
      <c r="E179" s="12">
        <v>3007</v>
      </c>
      <c r="F179" s="12">
        <v>0</v>
      </c>
      <c r="G179" s="12">
        <v>0</v>
      </c>
      <c r="H179" s="12"/>
      <c r="I179" s="12">
        <v>-196.21</v>
      </c>
      <c r="J179" s="12">
        <v>3007</v>
      </c>
      <c r="K179" s="13">
        <f t="shared" si="9"/>
        <v>3007</v>
      </c>
      <c r="L179" s="15">
        <f t="shared" si="8"/>
        <v>0</v>
      </c>
      <c r="M179" s="12">
        <v>0</v>
      </c>
      <c r="N179" s="16"/>
      <c r="O179" s="27">
        <v>-196.21000000000004</v>
      </c>
      <c r="P179">
        <v>3007</v>
      </c>
      <c r="Q179">
        <v>3007</v>
      </c>
      <c r="R179">
        <v>0</v>
      </c>
      <c r="S179">
        <v>0</v>
      </c>
      <c r="U179">
        <v>-196.21</v>
      </c>
    </row>
    <row r="180" spans="1:21">
      <c r="A180" s="6">
        <v>176</v>
      </c>
      <c r="B180" s="12">
        <v>7937</v>
      </c>
      <c r="C180" s="12">
        <v>8253</v>
      </c>
      <c r="D180" s="12">
        <v>7937</v>
      </c>
      <c r="E180" s="12">
        <v>8253</v>
      </c>
      <c r="F180" s="12">
        <v>316</v>
      </c>
      <c r="G180" s="12">
        <v>657.28</v>
      </c>
      <c r="H180" s="12"/>
      <c r="I180" s="12">
        <v>1790.3</v>
      </c>
      <c r="J180" s="12">
        <v>8253</v>
      </c>
      <c r="K180" s="13">
        <v>8425</v>
      </c>
      <c r="L180" s="15">
        <f t="shared" si="8"/>
        <v>172</v>
      </c>
      <c r="M180" s="12">
        <v>357.76</v>
      </c>
      <c r="N180" s="14"/>
      <c r="O180" s="27">
        <v>2148.0599999999986</v>
      </c>
      <c r="P180">
        <v>8425</v>
      </c>
      <c r="Q180">
        <v>8503</v>
      </c>
      <c r="R180">
        <v>78</v>
      </c>
      <c r="S180">
        <v>162.24</v>
      </c>
      <c r="U180">
        <v>2310.3000000000002</v>
      </c>
    </row>
    <row r="181" spans="1:21">
      <c r="A181" s="6">
        <v>177</v>
      </c>
      <c r="B181" s="12">
        <v>168</v>
      </c>
      <c r="C181" s="12">
        <v>168</v>
      </c>
      <c r="D181" s="12">
        <v>168</v>
      </c>
      <c r="E181" s="12">
        <v>168</v>
      </c>
      <c r="F181" s="12">
        <v>0</v>
      </c>
      <c r="G181" s="12">
        <v>0</v>
      </c>
      <c r="H181" s="12"/>
      <c r="I181" s="12">
        <v>-117.83</v>
      </c>
      <c r="J181" s="12">
        <v>168</v>
      </c>
      <c r="K181" s="13">
        <f t="shared" si="9"/>
        <v>168</v>
      </c>
      <c r="L181" s="15">
        <f t="shared" si="8"/>
        <v>0</v>
      </c>
      <c r="M181" s="12">
        <v>0</v>
      </c>
      <c r="N181" s="16"/>
      <c r="O181" s="27">
        <v>-117.83</v>
      </c>
      <c r="P181">
        <v>168</v>
      </c>
      <c r="Q181">
        <v>170</v>
      </c>
      <c r="R181">
        <v>2</v>
      </c>
      <c r="S181">
        <v>4.16</v>
      </c>
      <c r="U181">
        <v>-113.67</v>
      </c>
    </row>
    <row r="182" spans="1:21">
      <c r="A182" s="6">
        <v>178</v>
      </c>
      <c r="B182" s="12">
        <v>35533</v>
      </c>
      <c r="C182" s="12">
        <v>37047</v>
      </c>
      <c r="D182" s="12">
        <v>35533</v>
      </c>
      <c r="E182" s="12">
        <v>37047</v>
      </c>
      <c r="F182" s="12">
        <v>1514</v>
      </c>
      <c r="G182" s="12">
        <v>3149.12</v>
      </c>
      <c r="H182" s="12">
        <v>5150</v>
      </c>
      <c r="I182" s="12">
        <v>1024.54</v>
      </c>
      <c r="J182" s="12">
        <v>37047</v>
      </c>
      <c r="K182" s="13">
        <v>38231</v>
      </c>
      <c r="L182" s="15">
        <f t="shared" si="8"/>
        <v>1184</v>
      </c>
      <c r="M182" s="12">
        <v>2462.7200000000003</v>
      </c>
      <c r="N182" s="19">
        <f>5150+3500</f>
        <v>8650</v>
      </c>
      <c r="O182" s="27">
        <v>-12.740000000001601</v>
      </c>
      <c r="P182">
        <v>38231</v>
      </c>
      <c r="Q182">
        <v>39171</v>
      </c>
      <c r="R182">
        <v>940</v>
      </c>
      <c r="S182">
        <v>1955.2</v>
      </c>
      <c r="U182">
        <v>1942.46</v>
      </c>
    </row>
    <row r="183" spans="1:21">
      <c r="A183" s="6">
        <v>179</v>
      </c>
      <c r="B183" s="12">
        <v>254</v>
      </c>
      <c r="C183" s="12">
        <v>254</v>
      </c>
      <c r="D183" s="12">
        <v>254</v>
      </c>
      <c r="E183" s="12">
        <v>254</v>
      </c>
      <c r="F183" s="12">
        <v>0</v>
      </c>
      <c r="G183" s="12">
        <v>0</v>
      </c>
      <c r="H183" s="12"/>
      <c r="I183" s="12">
        <v>315.52999999999997</v>
      </c>
      <c r="J183" s="12">
        <v>254</v>
      </c>
      <c r="K183" s="13">
        <f t="shared" si="9"/>
        <v>254</v>
      </c>
      <c r="L183" s="15">
        <f t="shared" si="8"/>
        <v>0</v>
      </c>
      <c r="M183" s="12">
        <v>0</v>
      </c>
      <c r="N183" s="16"/>
      <c r="O183" s="27">
        <v>315.52999999999997</v>
      </c>
      <c r="P183">
        <v>254</v>
      </c>
      <c r="Q183">
        <v>284</v>
      </c>
      <c r="R183">
        <v>30</v>
      </c>
      <c r="S183">
        <v>62.4</v>
      </c>
      <c r="U183">
        <v>377.93</v>
      </c>
    </row>
    <row r="184" spans="1:21">
      <c r="A184" s="6">
        <v>180</v>
      </c>
      <c r="B184" s="12">
        <v>0</v>
      </c>
      <c r="C184" s="12"/>
      <c r="D184" s="12">
        <v>0</v>
      </c>
      <c r="E184" s="12"/>
      <c r="F184" s="12">
        <v>0</v>
      </c>
      <c r="G184" s="12">
        <v>0</v>
      </c>
      <c r="H184" s="12"/>
      <c r="I184" s="12">
        <v>-0.05</v>
      </c>
      <c r="J184" s="12">
        <v>0</v>
      </c>
      <c r="K184" s="13">
        <f t="shared" si="9"/>
        <v>0</v>
      </c>
      <c r="L184" s="15">
        <f t="shared" si="8"/>
        <v>0</v>
      </c>
      <c r="M184" s="12">
        <v>0</v>
      </c>
      <c r="N184" s="16"/>
      <c r="O184" s="27">
        <v>-4.9999999999999822E-2</v>
      </c>
      <c r="P184">
        <v>0</v>
      </c>
      <c r="R184">
        <v>0</v>
      </c>
      <c r="S184">
        <v>0</v>
      </c>
      <c r="U184">
        <v>-0.05</v>
      </c>
    </row>
    <row r="185" spans="1:21">
      <c r="A185" s="6">
        <v>181</v>
      </c>
      <c r="B185" s="12">
        <v>0</v>
      </c>
      <c r="C185" s="12"/>
      <c r="D185" s="12">
        <v>0</v>
      </c>
      <c r="E185" s="12"/>
      <c r="F185" s="12">
        <v>0</v>
      </c>
      <c r="G185" s="12">
        <v>0</v>
      </c>
      <c r="H185" s="12"/>
      <c r="I185" s="12">
        <v>0</v>
      </c>
      <c r="J185" s="12">
        <v>0</v>
      </c>
      <c r="K185" s="13">
        <f t="shared" si="9"/>
        <v>0</v>
      </c>
      <c r="L185" s="15">
        <f t="shared" si="8"/>
        <v>0</v>
      </c>
      <c r="M185" s="12">
        <v>0</v>
      </c>
      <c r="N185" s="16"/>
      <c r="O185" s="27">
        <v>0</v>
      </c>
      <c r="P185">
        <v>0</v>
      </c>
      <c r="R185">
        <v>0</v>
      </c>
      <c r="S185">
        <v>0</v>
      </c>
      <c r="U185">
        <v>0</v>
      </c>
    </row>
    <row r="186" spans="1:21">
      <c r="A186" s="6">
        <v>182</v>
      </c>
      <c r="B186" s="12">
        <v>0</v>
      </c>
      <c r="C186" s="12"/>
      <c r="D186" s="12">
        <v>0</v>
      </c>
      <c r="E186" s="12"/>
      <c r="F186" s="12">
        <v>0</v>
      </c>
      <c r="G186" s="12">
        <v>0</v>
      </c>
      <c r="H186" s="12"/>
      <c r="I186" s="12">
        <v>0</v>
      </c>
      <c r="J186" s="12">
        <v>0</v>
      </c>
      <c r="K186" s="13">
        <f t="shared" si="9"/>
        <v>0</v>
      </c>
      <c r="L186" s="15">
        <f t="shared" si="8"/>
        <v>0</v>
      </c>
      <c r="M186" s="12">
        <v>0</v>
      </c>
      <c r="N186" s="16"/>
      <c r="O186" s="27">
        <v>0</v>
      </c>
      <c r="P186">
        <v>0</v>
      </c>
      <c r="R186">
        <v>0</v>
      </c>
      <c r="S186">
        <v>0</v>
      </c>
      <c r="U186">
        <v>0</v>
      </c>
    </row>
    <row r="187" spans="1:21">
      <c r="A187" s="6">
        <v>183</v>
      </c>
      <c r="B187" s="12">
        <v>1645</v>
      </c>
      <c r="C187" s="12">
        <v>1645</v>
      </c>
      <c r="D187" s="12">
        <v>1645</v>
      </c>
      <c r="E187" s="12">
        <v>1645</v>
      </c>
      <c r="F187" s="12">
        <v>0</v>
      </c>
      <c r="G187" s="12">
        <v>0</v>
      </c>
      <c r="H187" s="12"/>
      <c r="I187" s="12">
        <v>87.96</v>
      </c>
      <c r="J187" s="12">
        <v>1645</v>
      </c>
      <c r="K187" s="13">
        <f t="shared" si="9"/>
        <v>1645</v>
      </c>
      <c r="L187" s="15">
        <f t="shared" si="8"/>
        <v>0</v>
      </c>
      <c r="M187" s="12">
        <v>0</v>
      </c>
      <c r="N187" s="14"/>
      <c r="O187" s="27">
        <v>87.96</v>
      </c>
      <c r="P187">
        <v>1645</v>
      </c>
      <c r="Q187">
        <v>1655</v>
      </c>
      <c r="R187">
        <v>10</v>
      </c>
      <c r="S187">
        <v>20.8</v>
      </c>
      <c r="U187">
        <v>108.76</v>
      </c>
    </row>
    <row r="188" spans="1:21">
      <c r="A188" s="6">
        <v>184</v>
      </c>
      <c r="B188" s="12">
        <v>0</v>
      </c>
      <c r="C188" s="12"/>
      <c r="D188" s="12">
        <v>0</v>
      </c>
      <c r="E188" s="12"/>
      <c r="F188" s="12">
        <v>0</v>
      </c>
      <c r="G188" s="12">
        <v>0</v>
      </c>
      <c r="H188" s="12"/>
      <c r="I188" s="12">
        <v>0</v>
      </c>
      <c r="J188" s="12">
        <v>0</v>
      </c>
      <c r="K188" s="13">
        <f>J188</f>
        <v>0</v>
      </c>
      <c r="L188" s="15">
        <f t="shared" si="8"/>
        <v>0</v>
      </c>
      <c r="M188" s="12">
        <v>0</v>
      </c>
      <c r="N188" s="16"/>
      <c r="O188" s="27">
        <v>0</v>
      </c>
      <c r="P188">
        <v>0</v>
      </c>
      <c r="R188">
        <v>0</v>
      </c>
      <c r="S188">
        <v>0</v>
      </c>
      <c r="U188">
        <v>0</v>
      </c>
    </row>
    <row r="189" spans="1:21">
      <c r="A189" s="6">
        <v>185</v>
      </c>
      <c r="B189" s="12">
        <v>52581</v>
      </c>
      <c r="C189" s="12">
        <v>53009</v>
      </c>
      <c r="D189" s="12">
        <v>52581</v>
      </c>
      <c r="E189" s="12">
        <v>53009</v>
      </c>
      <c r="F189" s="12">
        <v>428</v>
      </c>
      <c r="G189" s="12">
        <v>890.24</v>
      </c>
      <c r="H189" s="12"/>
      <c r="I189" s="12">
        <v>3589.24</v>
      </c>
      <c r="J189" s="12">
        <v>53009</v>
      </c>
      <c r="K189" s="24">
        <v>53687</v>
      </c>
      <c r="L189" s="15">
        <f t="shared" si="8"/>
        <v>678</v>
      </c>
      <c r="M189" s="12">
        <v>1410.24</v>
      </c>
      <c r="N189" s="19">
        <v>5000</v>
      </c>
      <c r="O189" s="27">
        <v>-0.52000000000043656</v>
      </c>
      <c r="P189">
        <v>53687</v>
      </c>
      <c r="Q189">
        <v>53750</v>
      </c>
      <c r="R189">
        <v>63</v>
      </c>
      <c r="S189">
        <v>131.04</v>
      </c>
      <c r="U189">
        <v>130.52000000000001</v>
      </c>
    </row>
    <row r="190" spans="1:21">
      <c r="A190" s="7">
        <v>186</v>
      </c>
      <c r="B190" s="12">
        <v>50763</v>
      </c>
      <c r="C190" s="12">
        <v>50763</v>
      </c>
      <c r="D190" s="12">
        <v>50763</v>
      </c>
      <c r="E190" s="12">
        <v>50763</v>
      </c>
      <c r="F190" s="12">
        <v>0</v>
      </c>
      <c r="G190" s="12">
        <v>0</v>
      </c>
      <c r="H190" s="12"/>
      <c r="I190" s="12">
        <v>9043.27</v>
      </c>
      <c r="J190" s="12">
        <v>50763</v>
      </c>
      <c r="K190" s="13">
        <v>54012</v>
      </c>
      <c r="L190" s="15">
        <f t="shared" si="8"/>
        <v>3249</v>
      </c>
      <c r="M190" s="12">
        <v>6757.92</v>
      </c>
      <c r="N190" s="19">
        <v>10000</v>
      </c>
      <c r="O190" s="27">
        <v>5801.1899999999969</v>
      </c>
      <c r="P190">
        <v>54012</v>
      </c>
      <c r="Q190">
        <v>54012</v>
      </c>
      <c r="R190">
        <v>0</v>
      </c>
      <c r="S190">
        <v>0</v>
      </c>
      <c r="U190">
        <v>5801.19</v>
      </c>
    </row>
    <row r="191" spans="1:21">
      <c r="A191" s="6">
        <v>187</v>
      </c>
      <c r="B191" s="12">
        <v>667</v>
      </c>
      <c r="C191" s="12">
        <v>667</v>
      </c>
      <c r="D191" s="12">
        <v>667</v>
      </c>
      <c r="E191" s="12">
        <v>667</v>
      </c>
      <c r="F191" s="12">
        <v>0</v>
      </c>
      <c r="G191" s="12">
        <v>0</v>
      </c>
      <c r="H191" s="12"/>
      <c r="I191" s="12">
        <v>-1230.82</v>
      </c>
      <c r="J191" s="12">
        <v>667</v>
      </c>
      <c r="K191" s="13">
        <f t="shared" si="9"/>
        <v>667</v>
      </c>
      <c r="L191" s="25">
        <f t="shared" si="8"/>
        <v>0</v>
      </c>
      <c r="M191" s="12">
        <v>0</v>
      </c>
      <c r="N191" s="16"/>
      <c r="O191" s="27">
        <v>-1230.82</v>
      </c>
      <c r="P191">
        <v>667</v>
      </c>
      <c r="Q191">
        <v>667</v>
      </c>
      <c r="R191">
        <v>0</v>
      </c>
      <c r="S191">
        <v>0</v>
      </c>
      <c r="U191">
        <v>-1230.82</v>
      </c>
    </row>
    <row r="192" spans="1:21">
      <c r="A192" s="6"/>
      <c r="B192" s="12"/>
      <c r="C192" s="12">
        <v>166</v>
      </c>
      <c r="D192" s="12"/>
      <c r="E192" s="12">
        <v>166</v>
      </c>
      <c r="F192" s="12">
        <v>166</v>
      </c>
      <c r="G192" s="12">
        <v>345.28</v>
      </c>
      <c r="H192" s="12"/>
      <c r="I192" s="12"/>
      <c r="J192" s="12">
        <v>166</v>
      </c>
      <c r="K192" s="13">
        <f t="shared" si="9"/>
        <v>166</v>
      </c>
      <c r="L192" s="25">
        <f t="shared" si="8"/>
        <v>0</v>
      </c>
      <c r="M192" s="12">
        <v>0</v>
      </c>
      <c r="N192" s="16"/>
      <c r="O192" s="27">
        <v>0</v>
      </c>
      <c r="P192">
        <v>166</v>
      </c>
      <c r="Q192">
        <v>166</v>
      </c>
      <c r="S192">
        <v>0</v>
      </c>
    </row>
    <row r="193" spans="1:21">
      <c r="A193" s="6">
        <v>188</v>
      </c>
      <c r="B193" s="12">
        <v>3333</v>
      </c>
      <c r="C193" s="12">
        <v>3333</v>
      </c>
      <c r="D193" s="12">
        <v>3333</v>
      </c>
      <c r="E193" s="12">
        <v>3333</v>
      </c>
      <c r="F193" s="12">
        <v>0</v>
      </c>
      <c r="G193" s="12">
        <v>0</v>
      </c>
      <c r="H193" s="12"/>
      <c r="I193" s="12">
        <v>-0.57999999999999996</v>
      </c>
      <c r="J193" s="12">
        <v>3333</v>
      </c>
      <c r="K193" s="13">
        <f t="shared" si="9"/>
        <v>3333</v>
      </c>
      <c r="L193" s="22">
        <f t="shared" si="8"/>
        <v>0</v>
      </c>
      <c r="M193" s="12">
        <v>0</v>
      </c>
      <c r="N193" s="16"/>
      <c r="O193" s="27">
        <v>-0.57999999999992724</v>
      </c>
      <c r="P193">
        <v>3333</v>
      </c>
      <c r="Q193">
        <v>333</v>
      </c>
      <c r="R193">
        <v>-3000</v>
      </c>
      <c r="S193">
        <v>-6240</v>
      </c>
      <c r="U193">
        <v>-6240.58</v>
      </c>
    </row>
    <row r="194" spans="1:21">
      <c r="A194" s="6">
        <v>189</v>
      </c>
      <c r="B194" s="12">
        <v>0</v>
      </c>
      <c r="C194" s="12"/>
      <c r="D194" s="12">
        <v>0</v>
      </c>
      <c r="E194" s="12"/>
      <c r="F194" s="12">
        <v>0</v>
      </c>
      <c r="G194" s="12">
        <v>0</v>
      </c>
      <c r="H194" s="12"/>
      <c r="I194" s="12">
        <v>0</v>
      </c>
      <c r="J194" s="12">
        <v>0</v>
      </c>
      <c r="K194" s="13">
        <f t="shared" si="9"/>
        <v>0</v>
      </c>
      <c r="L194" s="15">
        <f t="shared" si="8"/>
        <v>0</v>
      </c>
      <c r="M194" s="12">
        <v>0</v>
      </c>
      <c r="N194" s="16"/>
      <c r="O194" s="27">
        <v>0</v>
      </c>
      <c r="P194">
        <v>0</v>
      </c>
      <c r="R194">
        <v>0</v>
      </c>
      <c r="S194">
        <v>0</v>
      </c>
      <c r="U194">
        <v>0</v>
      </c>
    </row>
    <row r="195" spans="1:21">
      <c r="A195" s="6">
        <v>190</v>
      </c>
      <c r="B195" s="12">
        <v>0</v>
      </c>
      <c r="C195" s="12"/>
      <c r="D195" s="12">
        <v>0</v>
      </c>
      <c r="E195" s="12"/>
      <c r="F195" s="12">
        <v>0</v>
      </c>
      <c r="G195" s="12">
        <v>0</v>
      </c>
      <c r="H195" s="12"/>
      <c r="I195" s="12">
        <v>0</v>
      </c>
      <c r="J195" s="12">
        <v>0</v>
      </c>
      <c r="K195" s="13">
        <f t="shared" si="9"/>
        <v>0</v>
      </c>
      <c r="L195" s="15">
        <f t="shared" si="8"/>
        <v>0</v>
      </c>
      <c r="M195" s="12">
        <v>0</v>
      </c>
      <c r="N195" s="14"/>
      <c r="O195" s="27">
        <v>0</v>
      </c>
      <c r="P195">
        <v>0</v>
      </c>
      <c r="R195">
        <v>0</v>
      </c>
      <c r="S195">
        <v>0</v>
      </c>
      <c r="U195">
        <v>0</v>
      </c>
    </row>
    <row r="196" spans="1:21">
      <c r="A196" s="6">
        <v>191</v>
      </c>
      <c r="B196" s="12">
        <v>0</v>
      </c>
      <c r="C196" s="12"/>
      <c r="D196" s="12">
        <v>0</v>
      </c>
      <c r="E196" s="12"/>
      <c r="F196" s="12">
        <v>0</v>
      </c>
      <c r="G196" s="12">
        <v>0</v>
      </c>
      <c r="H196" s="12"/>
      <c r="I196" s="12">
        <v>0</v>
      </c>
      <c r="J196" s="12">
        <v>0</v>
      </c>
      <c r="K196" s="13">
        <f t="shared" si="9"/>
        <v>0</v>
      </c>
      <c r="L196" s="15">
        <f t="shared" si="8"/>
        <v>0</v>
      </c>
      <c r="M196" s="12">
        <v>0</v>
      </c>
      <c r="N196" s="16"/>
      <c r="O196" s="27">
        <v>0</v>
      </c>
      <c r="P196">
        <v>0</v>
      </c>
      <c r="R196">
        <v>0</v>
      </c>
      <c r="S196">
        <v>0</v>
      </c>
      <c r="U196">
        <v>0</v>
      </c>
    </row>
    <row r="197" spans="1:21">
      <c r="A197" s="6">
        <v>192</v>
      </c>
      <c r="B197" s="12">
        <v>122152</v>
      </c>
      <c r="C197" s="12">
        <v>125526</v>
      </c>
      <c r="D197" s="12">
        <v>122152</v>
      </c>
      <c r="E197" s="12">
        <v>125526</v>
      </c>
      <c r="F197" s="12">
        <v>3374</v>
      </c>
      <c r="G197" s="12">
        <v>7017.92</v>
      </c>
      <c r="H197" s="12"/>
      <c r="I197" s="12">
        <v>21074.34</v>
      </c>
      <c r="J197" s="12">
        <v>125526</v>
      </c>
      <c r="K197" s="13">
        <v>127358</v>
      </c>
      <c r="L197" s="15">
        <f t="shared" si="8"/>
        <v>1832</v>
      </c>
      <c r="M197" s="12">
        <v>3810.56</v>
      </c>
      <c r="N197" s="16"/>
      <c r="O197" s="27">
        <v>24884.9</v>
      </c>
      <c r="P197">
        <v>127358</v>
      </c>
      <c r="Q197">
        <v>128193</v>
      </c>
      <c r="R197">
        <v>835</v>
      </c>
      <c r="S197">
        <v>1736.8</v>
      </c>
      <c r="U197">
        <v>26621.7</v>
      </c>
    </row>
    <row r="198" spans="1:21">
      <c r="A198" s="6">
        <v>193</v>
      </c>
      <c r="B198" s="12">
        <v>0</v>
      </c>
      <c r="C198" s="12"/>
      <c r="D198" s="12">
        <v>0</v>
      </c>
      <c r="E198" s="12"/>
      <c r="F198" s="12">
        <v>0</v>
      </c>
      <c r="G198" s="12">
        <v>0</v>
      </c>
      <c r="H198" s="12"/>
      <c r="I198" s="12">
        <v>0</v>
      </c>
      <c r="J198" s="12">
        <v>0</v>
      </c>
      <c r="K198" s="13">
        <v>206</v>
      </c>
      <c r="L198" s="15">
        <f t="shared" si="8"/>
        <v>206</v>
      </c>
      <c r="M198" s="12">
        <v>428.48</v>
      </c>
      <c r="N198" s="16"/>
      <c r="O198" s="27">
        <v>428.48</v>
      </c>
      <c r="P198">
        <v>206</v>
      </c>
      <c r="Q198">
        <v>666</v>
      </c>
      <c r="R198">
        <v>460</v>
      </c>
      <c r="S198">
        <v>956.8</v>
      </c>
      <c r="U198">
        <v>1385.28</v>
      </c>
    </row>
    <row r="199" spans="1:21">
      <c r="A199" s="6">
        <v>194</v>
      </c>
      <c r="B199" s="12">
        <v>0</v>
      </c>
      <c r="C199" s="12"/>
      <c r="D199" s="12">
        <v>0</v>
      </c>
      <c r="E199" s="12"/>
      <c r="F199" s="12">
        <v>0</v>
      </c>
      <c r="G199" s="12">
        <v>0</v>
      </c>
      <c r="H199" s="12"/>
      <c r="I199" s="12">
        <v>0</v>
      </c>
      <c r="J199" s="12">
        <v>0</v>
      </c>
      <c r="K199" s="13">
        <f t="shared" ref="K199:K211" si="10">J199</f>
        <v>0</v>
      </c>
      <c r="L199" s="15">
        <f t="shared" ref="L199:L211" si="11">K199-J199</f>
        <v>0</v>
      </c>
      <c r="M199" s="12">
        <v>0</v>
      </c>
      <c r="N199" s="16"/>
      <c r="O199" s="27">
        <v>0</v>
      </c>
      <c r="P199">
        <v>0</v>
      </c>
      <c r="R199">
        <v>0</v>
      </c>
      <c r="S199">
        <v>0</v>
      </c>
      <c r="U199">
        <v>0</v>
      </c>
    </row>
    <row r="200" spans="1:21">
      <c r="A200" s="6">
        <v>195</v>
      </c>
      <c r="B200" s="12">
        <v>12943</v>
      </c>
      <c r="C200" s="12">
        <v>12943</v>
      </c>
      <c r="D200" s="12">
        <v>12943</v>
      </c>
      <c r="E200" s="12">
        <v>12943</v>
      </c>
      <c r="F200" s="12">
        <v>0</v>
      </c>
      <c r="G200" s="12">
        <v>0</v>
      </c>
      <c r="H200" s="12"/>
      <c r="I200" s="12">
        <v>22481.22</v>
      </c>
      <c r="J200" s="12">
        <v>12943</v>
      </c>
      <c r="K200" s="13">
        <f t="shared" si="10"/>
        <v>12943</v>
      </c>
      <c r="L200" s="15">
        <f t="shared" si="11"/>
        <v>0</v>
      </c>
      <c r="M200" s="12">
        <v>0</v>
      </c>
      <c r="N200" s="16"/>
      <c r="O200" s="27">
        <v>22481.22</v>
      </c>
      <c r="P200">
        <v>12943</v>
      </c>
      <c r="Q200">
        <v>12943</v>
      </c>
      <c r="R200">
        <v>0</v>
      </c>
      <c r="S200">
        <v>0</v>
      </c>
      <c r="U200">
        <v>22481.22</v>
      </c>
    </row>
    <row r="201" spans="1:21">
      <c r="A201" s="6">
        <v>196</v>
      </c>
      <c r="B201" s="12">
        <v>12532</v>
      </c>
      <c r="C201" s="12">
        <v>13220</v>
      </c>
      <c r="D201" s="12">
        <v>12532</v>
      </c>
      <c r="E201" s="12">
        <v>13220</v>
      </c>
      <c r="F201" s="12">
        <v>688</v>
      </c>
      <c r="G201" s="12">
        <v>1431.04</v>
      </c>
      <c r="H201" s="12"/>
      <c r="I201" s="12">
        <v>70.22</v>
      </c>
      <c r="J201" s="12">
        <v>13220</v>
      </c>
      <c r="K201" s="13">
        <v>13568</v>
      </c>
      <c r="L201" s="15">
        <f t="shared" si="11"/>
        <v>348</v>
      </c>
      <c r="M201" s="12">
        <v>723.84</v>
      </c>
      <c r="N201" s="16"/>
      <c r="O201" s="27">
        <v>794.06000000000029</v>
      </c>
      <c r="P201">
        <v>13568</v>
      </c>
      <c r="Q201">
        <v>14013</v>
      </c>
      <c r="R201">
        <v>445</v>
      </c>
      <c r="S201">
        <v>925.6</v>
      </c>
      <c r="U201">
        <v>1719.66</v>
      </c>
    </row>
    <row r="202" spans="1:21">
      <c r="A202" s="7">
        <v>197</v>
      </c>
      <c r="B202" s="12">
        <v>0</v>
      </c>
      <c r="C202" s="12"/>
      <c r="D202" s="12">
        <v>0</v>
      </c>
      <c r="E202" s="12"/>
      <c r="F202" s="12">
        <v>0</v>
      </c>
      <c r="G202" s="12">
        <v>0</v>
      </c>
      <c r="H202" s="12"/>
      <c r="I202" s="12">
        <v>0</v>
      </c>
      <c r="J202" s="12">
        <v>0</v>
      </c>
      <c r="K202" s="13">
        <f t="shared" si="10"/>
        <v>0</v>
      </c>
      <c r="L202" s="15">
        <f t="shared" si="11"/>
        <v>0</v>
      </c>
      <c r="M202" s="12">
        <v>0</v>
      </c>
      <c r="N202" s="14"/>
      <c r="O202" s="27">
        <v>0</v>
      </c>
      <c r="P202">
        <v>0</v>
      </c>
      <c r="R202">
        <v>0</v>
      </c>
      <c r="S202">
        <v>0</v>
      </c>
      <c r="U202">
        <v>0</v>
      </c>
    </row>
    <row r="203" spans="1:21">
      <c r="A203" s="6">
        <v>198</v>
      </c>
      <c r="B203" s="12">
        <v>0</v>
      </c>
      <c r="C203" s="12"/>
      <c r="D203" s="12">
        <v>0</v>
      </c>
      <c r="E203" s="12"/>
      <c r="F203" s="12">
        <v>0</v>
      </c>
      <c r="G203" s="12">
        <v>0</v>
      </c>
      <c r="H203" s="12"/>
      <c r="I203" s="12">
        <v>0</v>
      </c>
      <c r="J203" s="12">
        <v>0</v>
      </c>
      <c r="K203" s="13">
        <f t="shared" si="10"/>
        <v>0</v>
      </c>
      <c r="L203" s="15">
        <f t="shared" si="11"/>
        <v>0</v>
      </c>
      <c r="M203" s="12">
        <v>0</v>
      </c>
      <c r="N203" s="16"/>
      <c r="O203" s="27">
        <v>0</v>
      </c>
      <c r="P203">
        <v>0</v>
      </c>
      <c r="R203">
        <v>0</v>
      </c>
      <c r="S203">
        <v>0</v>
      </c>
      <c r="U203">
        <v>0</v>
      </c>
    </row>
    <row r="204" spans="1:21">
      <c r="A204" s="6">
        <v>199</v>
      </c>
      <c r="B204" s="12">
        <v>0</v>
      </c>
      <c r="C204" s="12"/>
      <c r="D204" s="12">
        <v>0</v>
      </c>
      <c r="E204" s="12"/>
      <c r="F204" s="12">
        <v>0</v>
      </c>
      <c r="G204" s="12">
        <v>0</v>
      </c>
      <c r="H204" s="12"/>
      <c r="I204" s="12">
        <v>0</v>
      </c>
      <c r="J204" s="12">
        <v>0</v>
      </c>
      <c r="K204" s="13">
        <f t="shared" si="10"/>
        <v>0</v>
      </c>
      <c r="L204" s="15">
        <f t="shared" si="11"/>
        <v>0</v>
      </c>
      <c r="M204" s="12">
        <v>0</v>
      </c>
      <c r="N204" s="16"/>
      <c r="O204" s="27">
        <v>0</v>
      </c>
      <c r="P204">
        <v>0</v>
      </c>
      <c r="R204">
        <v>0</v>
      </c>
      <c r="S204">
        <v>0</v>
      </c>
      <c r="U204">
        <v>0</v>
      </c>
    </row>
    <row r="205" spans="1:21">
      <c r="A205" s="6">
        <v>200</v>
      </c>
      <c r="B205" s="12">
        <v>0</v>
      </c>
      <c r="C205" s="12"/>
      <c r="D205" s="12">
        <v>0</v>
      </c>
      <c r="E205" s="12"/>
      <c r="F205" s="12">
        <v>0</v>
      </c>
      <c r="G205" s="12">
        <v>0</v>
      </c>
      <c r="H205" s="12"/>
      <c r="I205" s="12">
        <v>0</v>
      </c>
      <c r="J205" s="12">
        <v>0</v>
      </c>
      <c r="K205" s="13">
        <f t="shared" si="10"/>
        <v>0</v>
      </c>
      <c r="L205" s="15">
        <f t="shared" si="11"/>
        <v>0</v>
      </c>
      <c r="M205" s="12">
        <v>0</v>
      </c>
      <c r="N205" s="16"/>
      <c r="O205" s="27">
        <v>0</v>
      </c>
      <c r="P205">
        <v>0</v>
      </c>
      <c r="R205">
        <v>0</v>
      </c>
      <c r="S205">
        <v>0</v>
      </c>
      <c r="U205">
        <v>0</v>
      </c>
    </row>
    <row r="206" spans="1:21">
      <c r="A206" s="6">
        <v>201</v>
      </c>
      <c r="B206" s="12">
        <v>0</v>
      </c>
      <c r="C206" s="12"/>
      <c r="D206" s="12">
        <v>0</v>
      </c>
      <c r="E206" s="12"/>
      <c r="F206" s="12">
        <v>0</v>
      </c>
      <c r="G206" s="12">
        <v>0</v>
      </c>
      <c r="H206" s="12"/>
      <c r="I206" s="12">
        <v>0</v>
      </c>
      <c r="J206" s="12">
        <v>0</v>
      </c>
      <c r="K206" s="13">
        <f t="shared" si="10"/>
        <v>0</v>
      </c>
      <c r="L206" s="15">
        <f t="shared" si="11"/>
        <v>0</v>
      </c>
      <c r="M206" s="12">
        <v>0</v>
      </c>
      <c r="N206" s="16"/>
      <c r="O206" s="27">
        <v>0</v>
      </c>
      <c r="P206">
        <v>0</v>
      </c>
      <c r="R206">
        <v>0</v>
      </c>
      <c r="S206">
        <v>0</v>
      </c>
      <c r="U206">
        <v>0</v>
      </c>
    </row>
    <row r="207" spans="1:21">
      <c r="A207" s="6">
        <v>202</v>
      </c>
      <c r="B207" s="12">
        <v>0</v>
      </c>
      <c r="C207" s="12"/>
      <c r="D207" s="12">
        <v>0</v>
      </c>
      <c r="E207" s="12"/>
      <c r="F207" s="12">
        <v>0</v>
      </c>
      <c r="G207" s="12">
        <v>0</v>
      </c>
      <c r="H207" s="12"/>
      <c r="I207" s="12">
        <v>0</v>
      </c>
      <c r="J207" s="12">
        <v>0</v>
      </c>
      <c r="K207" s="13">
        <f t="shared" si="10"/>
        <v>0</v>
      </c>
      <c r="L207" s="15">
        <f t="shared" si="11"/>
        <v>0</v>
      </c>
      <c r="M207" s="12">
        <v>0</v>
      </c>
      <c r="N207" s="16"/>
      <c r="O207" s="27">
        <v>0</v>
      </c>
      <c r="P207">
        <v>0</v>
      </c>
      <c r="R207">
        <v>0</v>
      </c>
      <c r="S207">
        <v>0</v>
      </c>
      <c r="U207">
        <v>0</v>
      </c>
    </row>
    <row r="208" spans="1:21">
      <c r="A208" s="6">
        <v>203</v>
      </c>
      <c r="B208" s="12">
        <v>0</v>
      </c>
      <c r="C208" s="12"/>
      <c r="D208" s="12">
        <v>0</v>
      </c>
      <c r="E208" s="12"/>
      <c r="F208" s="12">
        <v>0</v>
      </c>
      <c r="G208" s="12">
        <v>0</v>
      </c>
      <c r="H208" s="12"/>
      <c r="I208" s="12">
        <v>0</v>
      </c>
      <c r="J208" s="12">
        <v>0</v>
      </c>
      <c r="K208" s="13">
        <f t="shared" si="10"/>
        <v>0</v>
      </c>
      <c r="L208" s="15">
        <f t="shared" si="11"/>
        <v>0</v>
      </c>
      <c r="M208" s="12">
        <v>0</v>
      </c>
      <c r="N208" s="16"/>
      <c r="O208" s="27">
        <v>0</v>
      </c>
      <c r="P208">
        <v>0</v>
      </c>
      <c r="R208">
        <v>0</v>
      </c>
      <c r="S208">
        <v>0</v>
      </c>
      <c r="U208">
        <v>0</v>
      </c>
    </row>
    <row r="209" spans="1:21">
      <c r="A209" s="6">
        <v>204</v>
      </c>
      <c r="B209" s="12">
        <v>0</v>
      </c>
      <c r="C209" s="12"/>
      <c r="D209" s="12">
        <v>0</v>
      </c>
      <c r="E209" s="12"/>
      <c r="F209" s="12">
        <v>0</v>
      </c>
      <c r="G209" s="12">
        <v>0</v>
      </c>
      <c r="H209" s="12"/>
      <c r="I209" s="12">
        <v>0</v>
      </c>
      <c r="J209" s="12">
        <v>0</v>
      </c>
      <c r="K209" s="13">
        <f t="shared" si="10"/>
        <v>0</v>
      </c>
      <c r="L209" s="15">
        <f t="shared" si="11"/>
        <v>0</v>
      </c>
      <c r="M209" s="12">
        <v>0</v>
      </c>
      <c r="N209" s="14"/>
      <c r="O209" s="27">
        <v>0</v>
      </c>
      <c r="P209">
        <v>0</v>
      </c>
      <c r="R209">
        <v>0</v>
      </c>
      <c r="S209">
        <v>0</v>
      </c>
      <c r="U209">
        <v>0</v>
      </c>
    </row>
    <row r="210" spans="1:21">
      <c r="A210" s="6">
        <v>205</v>
      </c>
      <c r="B210" s="12">
        <v>38727</v>
      </c>
      <c r="C210" s="12">
        <v>39592</v>
      </c>
      <c r="D210" s="12">
        <v>38727</v>
      </c>
      <c r="E210" s="12">
        <v>39592</v>
      </c>
      <c r="F210" s="12">
        <v>865</v>
      </c>
      <c r="G210" s="12">
        <v>1799.2</v>
      </c>
      <c r="H210" s="12"/>
      <c r="I210" s="12">
        <v>6552.51</v>
      </c>
      <c r="J210" s="12">
        <v>39592</v>
      </c>
      <c r="K210" s="13">
        <v>40001</v>
      </c>
      <c r="L210" s="15">
        <f t="shared" si="11"/>
        <v>409</v>
      </c>
      <c r="M210" s="12">
        <v>850.72</v>
      </c>
      <c r="N210" s="16"/>
      <c r="O210" s="27">
        <v>7403.23</v>
      </c>
      <c r="P210">
        <v>40001</v>
      </c>
      <c r="Q210">
        <v>40609</v>
      </c>
      <c r="R210">
        <v>608</v>
      </c>
      <c r="S210">
        <v>1264.6400000000001</v>
      </c>
      <c r="T210">
        <v>3000</v>
      </c>
      <c r="U210" s="37" t="s">
        <v>8</v>
      </c>
    </row>
    <row r="211" spans="1:21">
      <c r="A211" s="6">
        <v>206</v>
      </c>
      <c r="B211" s="12">
        <v>7617</v>
      </c>
      <c r="C211" s="12">
        <v>7617</v>
      </c>
      <c r="D211" s="12">
        <v>7617</v>
      </c>
      <c r="E211" s="12">
        <v>7617</v>
      </c>
      <c r="F211" s="12">
        <v>0</v>
      </c>
      <c r="G211" s="12">
        <v>0</v>
      </c>
      <c r="H211" s="12"/>
      <c r="I211" s="12">
        <v>436.88</v>
      </c>
      <c r="J211" s="12">
        <v>7617</v>
      </c>
      <c r="K211" s="13">
        <f t="shared" si="10"/>
        <v>7617</v>
      </c>
      <c r="L211" s="15">
        <f t="shared" si="11"/>
        <v>0</v>
      </c>
      <c r="M211" s="12">
        <v>0</v>
      </c>
      <c r="N211" s="23"/>
      <c r="O211" s="27">
        <v>436.87999999999954</v>
      </c>
      <c r="P211">
        <v>7617</v>
      </c>
      <c r="Q211">
        <v>7709</v>
      </c>
      <c r="R211">
        <v>92</v>
      </c>
      <c r="S211">
        <v>191.36</v>
      </c>
      <c r="U211">
        <v>628.24</v>
      </c>
    </row>
  </sheetData>
  <mergeCells count="7">
    <mergeCell ref="P3:R3"/>
    <mergeCell ref="S3:U3"/>
    <mergeCell ref="M3:O3"/>
    <mergeCell ref="A1:C2"/>
    <mergeCell ref="D3:F3"/>
    <mergeCell ref="G3:I3"/>
    <mergeCell ref="J3:L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cp:keywords/>
  <dc:description/>
  <cp:lastModifiedBy>настя</cp:lastModifiedBy>
  <cp:revision/>
  <dcterms:created xsi:type="dcterms:W3CDTF">2019-03-03T08:28:52Z</dcterms:created>
  <dcterms:modified xsi:type="dcterms:W3CDTF">2019-05-13T16:14:18Z</dcterms:modified>
  <cp:category/>
  <cp:contentStatus/>
</cp:coreProperties>
</file>